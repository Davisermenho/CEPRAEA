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COUT"/>
    <sheet r:id="rId2" sheetId="2" name="LISTAS"/>
    <sheet r:id="rId3" sheetId="3" name="BASE_ATLETAS_EVENTOS"/>
    <sheet r:id="rId4" sheetId="4" name="RESUMO"/>
    <sheet r:id="rId5" sheetId="5" name="DASHBOARD"/>
    <sheet r:id="rId6" sheetId="6" name="LEGENDA"/>
  </sheets>
  <definedNames>
    <definedName name="Set">'LISTAS'!$A$2:$A$5</definedName>
    <definedName name="ControleJogo">'LISTAS'!$B$2:$B$9</definedName>
    <definedName name="Equipes">'LISTAS'!$C$2:$C$12</definedName>
    <definedName name="Posse">'LISTAS'!$D$2:$D$3</definedName>
    <definedName name="FaseJogo">'LISTAS'!$E$2:$E$9</definedName>
    <definedName name="Sistemas">'LISTAS'!$F$2:$F$42</definedName>
    <definedName name="LadoAcao">=LISTAS!$H$2:$H$9</definedName>
    <definedName name="Atletas">=LISTAS!$J$2:$J$14</definedName>
    <definedName name="Goleiras">=LISTAS!$K$2:$K$3</definedName>
    <definedName name="FuncoesAtaque">=LISTAS!$L$2:$L$8</definedName>
    <definedName name="FuncoesDefesa">=LISTAS!$M$2:$M$5</definedName>
    <definedName name="Categorias">=LISTAS!$O$2:$O$7</definedName>
    <definedName name="AcoesAtaque">=LISTAS!$P$2:$P$76</definedName>
    <definedName name="AcoesDefesa">=LISTAS!$S$2:$S$79</definedName>
    <definedName name="AcoesGoleira">=LISTAS!$T$2:$T$11</definedName>
    <definedName name="Reposicao">=LISTAS!$U$2:$U$15</definedName>
    <definedName name="ResultadoColetivo">=LISTAS!$V$2:$V$21</definedName>
    <definedName name="ResultadoIndividual">=LISTAS!$W$2:$W$9</definedName>
    <definedName name="Analise">=LISTAS!$X$2:$X$5</definedName>
    <definedName name="Revisar">=LISTAS!$Y$2:$Y$3</definedName>
    <definedName name="_xlnm._FilterDatabase" localSheetId="0">'SCOUT'!$A$4:$BC$104</definedName>
  </definedNames>
  <calcPr fullCalcOnLoad="1"/>
</workbook>
</file>

<file path=xl/sharedStrings.xml><?xml version="1.0" encoding="utf-8"?>
<sst xmlns="http://schemas.openxmlformats.org/spreadsheetml/2006/main" count="719" uniqueCount="516">
  <si>
    <t>LEGENDA E CRITÉRIOS DE ACEITE — SCOUT V_1.1</t>
  </si>
  <si>
    <t>Categoria</t>
  </si>
  <si>
    <t>Descrição</t>
  </si>
  <si>
    <t>Uso</t>
  </si>
  <si>
    <t>Ação técnica assertiva</t>
  </si>
  <si>
    <t>Execução correta, vantagem criada ou manutenção da posse.</t>
  </si>
  <si>
    <t>Erro técnico</t>
  </si>
  <si>
    <t>Falha de execução.</t>
  </si>
  <si>
    <t>Assistência / ação que gera finalização</t>
  </si>
  <si>
    <t>Passe, bloqueio ou fixação que gera finalização.</t>
  </si>
  <si>
    <t>Erro de decisão</t>
  </si>
  <si>
    <t>Escolha ruim ou leitura equivocada.</t>
  </si>
  <si>
    <t>Recuperação / ação defensiva positiva</t>
  </si>
  <si>
    <t>Interceptação, bloqueio, indução de erro.</t>
  </si>
  <si>
    <t>Falta / infração / ação irregular</t>
  </si>
  <si>
    <t>Contato, invasão, tiro de 6m, troca irregular.</t>
  </si>
  <si>
    <t>Checklist dos 35 ajustes implementados</t>
  </si>
  <si>
    <t>Versão nova SCOUTV_1.1 criada.</t>
  </si>
  <si>
    <t>Implementado</t>
  </si>
  <si>
    <t>Base principal sem espelhamento.</t>
  </si>
  <si>
    <t>ID Evento.</t>
  </si>
  <si>
    <t>Tempo de jogo.</t>
  </si>
  <si>
    <t>Set separado.</t>
  </si>
  <si>
    <t>Controle com lista.</t>
  </si>
  <si>
    <t>Placar CEPRAEA separado.</t>
  </si>
  <si>
    <t>Diferença calculada.</t>
  </si>
  <si>
    <t>Situação do placar calculada.</t>
  </si>
  <si>
    <t>Equipe analisada e adversário.</t>
  </si>
  <si>
    <t>Posse de bola.</t>
  </si>
  <si>
    <t>Fase do jogo reduzida.</t>
  </si>
  <si>
    <t>Sistema organizado.</t>
  </si>
  <si>
    <t>Lado da ação.</t>
  </si>
  <si>
    <t>Goleira.</t>
  </si>
  <si>
    <t>Reposição.</t>
  </si>
  <si>
    <t>Ataque em 4 blocos.</t>
  </si>
  <si>
    <t>Atleta+Função+Categoria+Ação+Resultado no ataque.</t>
  </si>
  <si>
    <t>Defesa em 3 blocos.</t>
  </si>
  <si>
    <t>Atleta+Função+Categoria+Ação+Resultado na defesa.</t>
  </si>
  <si>
    <t>Funções de ataque.</t>
  </si>
  <si>
    <t>Funções Base, Solta, API e Goleira.</t>
  </si>
  <si>
    <t>Ações de ataque.</t>
  </si>
  <si>
    <t>Ações de defesa.</t>
  </si>
  <si>
    <t>Categoria separada.</t>
  </si>
  <si>
    <t>Resultado coletivo.</t>
  </si>
  <si>
    <t>Resultado individual.</t>
  </si>
  <si>
    <t>Análise padronizada.</t>
  </si>
  <si>
    <t>Observação curta.</t>
  </si>
  <si>
    <t>Revisar vídeo.</t>
  </si>
  <si>
    <t>Aba LISTAS.</t>
  </si>
  <si>
    <t>Validações de dados.</t>
  </si>
  <si>
    <t>Formatação condicional.</t>
  </si>
  <si>
    <t>Aba BASE_ATLETAS_EVENTOS.</t>
  </si>
  <si>
    <t>Aba RESUMO/DASHBOARD.</t>
  </si>
  <si>
    <t>DASHBOARD — SCOUT HANDEBOL DE PRAIA</t>
  </si>
  <si>
    <t>Painel de leitura rápida com indicadores, gráficos e resumo visual.</t>
  </si>
  <si>
    <t>Eventos</t>
  </si>
  <si>
    <t>Gols 2P</t>
  </si>
  <si>
    <t>Recuperações</t>
  </si>
  <si>
    <t>Revisar</t>
  </si>
  <si>
    <t>Ações por atleta</t>
  </si>
  <si>
    <t>RESUMO AUTOMÁTICO — Indicadores do jogo</t>
  </si>
  <si>
    <t>Total eventos</t>
  </si>
  <si>
    <t>Gols 1P</t>
  </si>
  <si>
    <t>Erros técnicos</t>
  </si>
  <si>
    <t>Assistências</t>
  </si>
  <si>
    <t>Infrações</t>
  </si>
  <si>
    <t>Indicadores por Atleta</t>
  </si>
  <si>
    <t>Atleta</t>
  </si>
  <si>
    <t>Total ações</t>
  </si>
  <si>
    <t>Acertos</t>
  </si>
  <si>
    <t>Erros decisão</t>
  </si>
  <si>
    <t>Aline Mello</t>
  </si>
  <si>
    <t>Roberta Hernandez</t>
  </si>
  <si>
    <t>Carolina Peixinho</t>
  </si>
  <si>
    <t>Gabriela Peixinho</t>
  </si>
  <si>
    <t>Aline Kécia</t>
  </si>
  <si>
    <t>Bruna Xavier</t>
  </si>
  <si>
    <t>Beatriz Correia</t>
  </si>
  <si>
    <t>Fernanda Campbell</t>
  </si>
  <si>
    <t>Marleide Nunes</t>
  </si>
  <si>
    <t>Rafaela Dillmann</t>
  </si>
  <si>
    <t>Taís Almeida</t>
  </si>
  <si>
    <t>Carolina Bezerra</t>
  </si>
  <si>
    <t>Paola Wolff</t>
  </si>
  <si>
    <t>Eficiência por Fase do Jogo</t>
  </si>
  <si>
    <t>Fase</t>
  </si>
  <si>
    <t>Gols a favor</t>
  </si>
  <si>
    <t>Erros/perdas</t>
  </si>
  <si>
    <t>Eficiência gols</t>
  </si>
  <si>
    <t>Ataque posicionado</t>
  </si>
  <si>
    <t>Defesa posicionada</t>
  </si>
  <si>
    <t>Transição ofensiva direta</t>
  </si>
  <si>
    <t>Transição ofensiva indireta</t>
  </si>
  <si>
    <t>Transição defensiva direta</t>
  </si>
  <si>
    <t>Transição defensiva indireta</t>
  </si>
  <si>
    <t>Shoot-out</t>
  </si>
  <si>
    <t>Controle de jogo</t>
  </si>
  <si>
    <t>ID Evento</t>
  </si>
  <si>
    <t>Tempo de jogo</t>
  </si>
  <si>
    <t>Set</t>
  </si>
  <si>
    <t>Equipe analisada</t>
  </si>
  <si>
    <t>Adversário</t>
  </si>
  <si>
    <t>Posse de bola</t>
  </si>
  <si>
    <t>Fase do jogo</t>
  </si>
  <si>
    <t>Sistema</t>
  </si>
  <si>
    <t>Lado da ação</t>
  </si>
  <si>
    <t>Bloco</t>
  </si>
  <si>
    <t>Função</t>
  </si>
  <si>
    <t>Ação</t>
  </si>
  <si>
    <t>Resultado individual</t>
  </si>
  <si>
    <t>Análise</t>
  </si>
  <si>
    <t>Resultado coletivo</t>
  </si>
  <si>
    <t>Observação</t>
  </si>
  <si>
    <t>Base normalizada por atleta/ação. Use esta aba para tabela dinâmica; a fórmula dinâmica pode ser ativada no Excel 365 conforme necessidade.</t>
  </si>
  <si>
    <t>Controle do Jogo</t>
  </si>
  <si>
    <t>Equipes</t>
  </si>
  <si>
    <t>Posse</t>
  </si>
  <si>
    <t>Fase Jogo CEPRAEA</t>
  </si>
  <si>
    <t>Sistema Tático CEPRAEA</t>
  </si>
  <si>
    <t>Sistema Tático ADVERSÁRIO</t>
  </si>
  <si>
    <t>Funções Ataque Adversário</t>
  </si>
  <si>
    <t>Adversário Nº</t>
  </si>
  <si>
    <t>Atletas</t>
  </si>
  <si>
    <t>Goleiras</t>
  </si>
  <si>
    <t>FuncoesAtaque</t>
  </si>
  <si>
    <t>Posições Defensivas</t>
  </si>
  <si>
    <t>Categorias</t>
  </si>
  <si>
    <t>AcoesAtaque</t>
  </si>
  <si>
    <t>Especialista central</t>
  </si>
  <si>
    <t>Tipo de Passe</t>
  </si>
  <si>
    <t>AcoesDefesa</t>
  </si>
  <si>
    <t>AcoesGoleira</t>
  </si>
  <si>
    <t>Reposicao</t>
  </si>
  <si>
    <t>ResultadoColetivo</t>
  </si>
  <si>
    <t>ResultadoIndividual</t>
  </si>
  <si>
    <t>Analise</t>
  </si>
  <si>
    <t>1º SET</t>
  </si>
  <si>
    <t>PEDIDO DE TEMPO TÉCNICO</t>
  </si>
  <si>
    <t>CEPRAEA</t>
  </si>
  <si>
    <t>Ataque 3:1 ESP central + pivô destra</t>
  </si>
  <si>
    <t xml:space="preserve">Ataque 3:1 ESP central + pivô destra </t>
  </si>
  <si>
    <t>Central</t>
  </si>
  <si>
    <t>Base</t>
  </si>
  <si>
    <t>1 - Ação técnica assertiva</t>
  </si>
  <si>
    <t>Recepção segura na lateral esquerda</t>
  </si>
  <si>
    <t>Passe de central  com quebra para lateral esqeuerda</t>
  </si>
  <si>
    <t>Giro</t>
  </si>
  <si>
    <t>Posicionamento central correto</t>
  </si>
  <si>
    <t>Defesa de arremesso de 1 ponto</t>
  </si>
  <si>
    <t>Gol 1 ponto</t>
  </si>
  <si>
    <t>Acerto</t>
  </si>
  <si>
    <t>Positiva</t>
  </si>
  <si>
    <t>Sim</t>
  </si>
  <si>
    <t>2º SET</t>
  </si>
  <si>
    <t>RETORNO DO TEMPO TÉCNICO</t>
  </si>
  <si>
    <t>ADM Maricá</t>
  </si>
  <si>
    <t>Ataque 3:1 ESP central + pivô canhota</t>
  </si>
  <si>
    <t>Lateral esquerda</t>
  </si>
  <si>
    <t>Solta</t>
  </si>
  <si>
    <t>2 - Erro técnico</t>
  </si>
  <si>
    <t>Finalização de 1 ponto convertida</t>
  </si>
  <si>
    <t>Passe de central do chão para giro da lateral esquerda</t>
  </si>
  <si>
    <t>Comunicação defensiva efetiva</t>
  </si>
  <si>
    <t>Defesa de arremesso de 2 pontos</t>
  </si>
  <si>
    <t>Troca lado direito</t>
  </si>
  <si>
    <t>Gol 2 pontos</t>
  </si>
  <si>
    <t>Neutra</t>
  </si>
  <si>
    <t>Não</t>
  </si>
  <si>
    <t>GOLDEN GOL</t>
  </si>
  <si>
    <t>BOLA AO ALTO - INÍCIO</t>
  </si>
  <si>
    <t>Campinas 360</t>
  </si>
  <si>
    <t>Transição ofensiva</t>
  </si>
  <si>
    <t>Ataque 3:1 ESP lat direita canhota</t>
  </si>
  <si>
    <t>Lateral Esquerda Especialista</t>
  </si>
  <si>
    <t>Atras da Pivô</t>
  </si>
  <si>
    <t>3 - Assistência / ação que gera finalização</t>
  </si>
  <si>
    <t>Finalização de 2 pontos convertida</t>
  </si>
  <si>
    <t>Passe de central saltando para giro da lateral esquerda</t>
  </si>
  <si>
    <t>Leitura correta da especialista central</t>
  </si>
  <si>
    <t>Passe de saída correto</t>
  </si>
  <si>
    <t>Troca lado esquerdo</t>
  </si>
  <si>
    <t>Gol sofrido 1 ponto</t>
  </si>
  <si>
    <t>Assistência</t>
  </si>
  <si>
    <t>Negativa</t>
  </si>
  <si>
    <t>SHOOT OUT</t>
  </si>
  <si>
    <t>Niterói Rugby</t>
  </si>
  <si>
    <t>Transição defensiva</t>
  </si>
  <si>
    <t>Ataque 3:1 ESP lat direita destra</t>
  </si>
  <si>
    <t>Pivô</t>
  </si>
  <si>
    <t>Goleira</t>
  </si>
  <si>
    <t>4 - Erro de decisão</t>
  </si>
  <si>
    <t>Arremesso em giro convertido</t>
  </si>
  <si>
    <t>Passe de central do chão após finta de passe para giro da lateral esquerda</t>
  </si>
  <si>
    <t>Leitura correta da pivô</t>
  </si>
  <si>
    <t>Passe longo para transição</t>
  </si>
  <si>
    <t>Entrada da especialista</t>
  </si>
  <si>
    <t>Gol sofrido 2 pontos</t>
  </si>
  <si>
    <t>FIM DO SET</t>
  </si>
  <si>
    <t>NR Beach</t>
  </si>
  <si>
    <t>Ataque 4:0 ESP lat esquerda</t>
  </si>
  <si>
    <t>Central Especialista</t>
  </si>
  <si>
    <t>Avançada</t>
  </si>
  <si>
    <t>5 - Recuperação / ação defensiva positiva</t>
  </si>
  <si>
    <t>Arremesso em aérea convertido</t>
  </si>
  <si>
    <t>Passe de central saltando para aérea da lateral esquerda</t>
  </si>
  <si>
    <t>aérea</t>
  </si>
  <si>
    <t>Fechamento do centro</t>
  </si>
  <si>
    <t>Passe errado na saída</t>
  </si>
  <si>
    <t>Saída da goleira</t>
  </si>
  <si>
    <t>Defesa da goleira</t>
  </si>
  <si>
    <t>Recuperação defensiva</t>
  </si>
  <si>
    <t>FIM DO JOGO</t>
  </si>
  <si>
    <t>Rio Handbeach</t>
  </si>
  <si>
    <t>Golden Gol</t>
  </si>
  <si>
    <t>Ataque 4:0 ESP lat direita destra</t>
  </si>
  <si>
    <t>Central Playmaker Esq</t>
  </si>
  <si>
    <t>6 - Falta / infração / ação irregular</t>
  </si>
  <si>
    <t>Infiltração pelo lado esquerdo com vantagem</t>
  </si>
  <si>
    <t>Passe de central do chão para giro da lateral direita</t>
  </si>
  <si>
    <t>Fechamento da linha da área</t>
  </si>
  <si>
    <t>Defesa no shoot-out</t>
  </si>
  <si>
    <t>Entrada defensiva</t>
  </si>
  <si>
    <t>Finalização para fora</t>
  </si>
  <si>
    <t>Infração</t>
  </si>
  <si>
    <t>IDEC</t>
  </si>
  <si>
    <t>Ataque 4:0 ESP lat direita canhota</t>
  </si>
  <si>
    <t>Central Playmaker Dir</t>
  </si>
  <si>
    <t>7 - Boa tomada de decisão</t>
  </si>
  <si>
    <t>Ataque ao espaço vazio da defesa</t>
  </si>
  <si>
    <t>Passe de central saltando para giro da lateral direita</t>
  </si>
  <si>
    <t>Cobertura da API</t>
  </si>
  <si>
    <t>Gol de goleira</t>
  </si>
  <si>
    <t>Saída defensiva</t>
  </si>
  <si>
    <t>Finalização bloqueada</t>
  </si>
  <si>
    <t>Neutro</t>
  </si>
  <si>
    <t>América FC/ADHFT</t>
  </si>
  <si>
    <t>Ataque 4:0 ESP central esquerda</t>
  </si>
  <si>
    <t>Lateral Direita Especialista</t>
  </si>
  <si>
    <t>8 - Passe de apoio</t>
  </si>
  <si>
    <t>Finta curta para ganhar ângulo</t>
  </si>
  <si>
    <t>Passe de central do chão após finta de passe para giro da lateral direita</t>
  </si>
  <si>
    <t>Cobertura da solta</t>
  </si>
  <si>
    <t>Erro de posicionamento</t>
  </si>
  <si>
    <t>Reposição rápida</t>
  </si>
  <si>
    <t>Perda de bola</t>
  </si>
  <si>
    <t>MHB — Milka Handbeach</t>
  </si>
  <si>
    <t>Ataque 4:0 ESP central direita canhota</t>
  </si>
  <si>
    <t>Lateral direita</t>
  </si>
  <si>
    <t>9 - Desmarque</t>
  </si>
  <si>
    <t>Passe rápido para continuidade do ataque</t>
  </si>
  <si>
    <t>Passe de central saltando para aérea da lateral direita</t>
  </si>
  <si>
    <t>Troca de marcação correta</t>
  </si>
  <si>
    <t>Reposição lenta</t>
  </si>
  <si>
    <t>Recuperação de bola</t>
  </si>
  <si>
    <t>Buds Handbeach</t>
  </si>
  <si>
    <t>Ataque 4:0 ESP central direita destra</t>
  </si>
  <si>
    <t>Goleira passadora</t>
  </si>
  <si>
    <t>Passe longo correto para lado oposto</t>
  </si>
  <si>
    <t>Passe de central sem olhar para lateral esquerda</t>
  </si>
  <si>
    <t>Flutuação entre pivô e especialista</t>
  </si>
  <si>
    <t>Reposição direta</t>
  </si>
  <si>
    <t>Falta de ataque</t>
  </si>
  <si>
    <t>APCEF</t>
  </si>
  <si>
    <t>Defesa 3x0</t>
  </si>
  <si>
    <t>Passe para pivô em condição de finalização</t>
  </si>
  <si>
    <t>Passe de central sem olhar para lateral direita</t>
  </si>
  <si>
    <t>Indução do ataque para lateral</t>
  </si>
  <si>
    <t>Reposição indireta</t>
  </si>
  <si>
    <t>Falta defensiva</t>
  </si>
  <si>
    <t>Defesa 2x1</t>
  </si>
  <si>
    <t>Passe para especialista em condição de finalização</t>
  </si>
  <si>
    <t>Passe de central sem olhar para pivô</t>
  </si>
  <si>
    <t>Temporização da atacante com bola</t>
  </si>
  <si>
    <t>Erro de substituição</t>
  </si>
  <si>
    <t>Tiro de 6m a favor</t>
  </si>
  <si>
    <t>Defesa 0x3</t>
  </si>
  <si>
    <t>Troca de posição correta com a central</t>
  </si>
  <si>
    <t>Passe de central para aérea da pivô</t>
  </si>
  <si>
    <t>Bloqueio de arremesso</t>
  </si>
  <si>
    <t>Atraso na troca</t>
  </si>
  <si>
    <t>Tiro de 6m contra</t>
  </si>
  <si>
    <t>Defesa 1x2</t>
  </si>
  <si>
    <t>Troca de posição correta com a pivô</t>
  </si>
  <si>
    <t>Passe de central para giro da pivô</t>
  </si>
  <si>
    <t>Bloqueio após giro</t>
  </si>
  <si>
    <t>Entrada correta da especialista</t>
  </si>
  <si>
    <t>Exclusão a favor</t>
  </si>
  <si>
    <t>Defesa individual</t>
  </si>
  <si>
    <t>Fixação da defensora antes do passe</t>
  </si>
  <si>
    <t>Passe de central para especialista em vantagem</t>
  </si>
  <si>
    <t>Bloqueio duplo correto</t>
  </si>
  <si>
    <t>Exclusão contra</t>
  </si>
  <si>
    <t>Defesa mista</t>
  </si>
  <si>
    <t>Leitura correta do bloqueio defensivo</t>
  </si>
  <si>
    <t>Passe de central após fixar a Base</t>
  </si>
  <si>
    <t>Antecipação de passe central</t>
  </si>
  <si>
    <t>Shoot-out convertido</t>
  </si>
  <si>
    <t>Defesa API / Base / Solta</t>
  </si>
  <si>
    <t>Finalização com bom ângulo</t>
  </si>
  <si>
    <t>Passe de central após atrair a Solta</t>
  </si>
  <si>
    <t>Pressão controlada sem abrir o centro</t>
  </si>
  <si>
    <t>Shoot-out perdido</t>
  </si>
  <si>
    <t>Transição ofensiva direta 1x0 lat esquerda</t>
  </si>
  <si>
    <t>Ataque em superioridade bem executado</t>
  </si>
  <si>
    <t>Passe de central após deslocar a API</t>
  </si>
  <si>
    <t>Recuperação defensiva após perda</t>
  </si>
  <si>
    <t>Transição ofensiva direta 1x0 lat esquerda + central</t>
  </si>
  <si>
    <t>Continuidade após pressão defensiva</t>
  </si>
  <si>
    <t>Finta de passe e passe para aérea</t>
  </si>
  <si>
    <t>Pressão correta na primeira linha</t>
  </si>
  <si>
    <t>Sem finalização</t>
  </si>
  <si>
    <t>Transição ofensiva direta 1x0 lat esquerda + central + pivô + lat direita</t>
  </si>
  <si>
    <t>Tomada de decisão rápida na transição</t>
  </si>
  <si>
    <t>Finta de passe e passe para giro</t>
  </si>
  <si>
    <t>Entrada correta na linha de passe</t>
  </si>
  <si>
    <t>Transição ofensiva direta 2x1 lat direita</t>
  </si>
  <si>
    <t>Recepção segura na lateral direita</t>
  </si>
  <si>
    <t>Finta de arremesso e passe para pivô</t>
  </si>
  <si>
    <t>Antecipação de passe</t>
  </si>
  <si>
    <t>Transição ofensiva direta 2x1 lat direita + central</t>
  </si>
  <si>
    <t>Ataque ao espaço entre base e API</t>
  </si>
  <si>
    <t>Finta de arremesso e passe para lateral</t>
  </si>
  <si>
    <t>Interceptação de passe</t>
  </si>
  <si>
    <t>Transição ofensiva direta 2x1 lat esquerda</t>
  </si>
  <si>
    <t>Ataque ao espaço entre base e solta</t>
  </si>
  <si>
    <t>Passe longo da central para lado oposto</t>
  </si>
  <si>
    <t>Dissuasão na lateral</t>
  </si>
  <si>
    <t>Transição ofensiva indireta 3:1 ESP central</t>
  </si>
  <si>
    <t>Passe correto para pivô</t>
  </si>
  <si>
    <t>Passe curto da central para pivô</t>
  </si>
  <si>
    <t>Dissuasão na central</t>
  </si>
  <si>
    <t>Transição ofensiva indireta 3:1 ESP lat esquerda</t>
  </si>
  <si>
    <t>Passe correto para especialista</t>
  </si>
  <si>
    <t>Passe em suspensão para finalização de 2 pontos</t>
  </si>
  <si>
    <t>Pressão na playmaker</t>
  </si>
  <si>
    <t>Transição ofensiva indireta 3:1 ESP lat direita</t>
  </si>
  <si>
    <t>Passe correto para central</t>
  </si>
  <si>
    <t>Passe picado para giro</t>
  </si>
  <si>
    <t>Recuo no tempo correto</t>
  </si>
  <si>
    <t>Transição ofensiva indireta 4:0 ESP lat esquerda</t>
  </si>
  <si>
    <t>Posicionamento correto entre defensoras</t>
  </si>
  <si>
    <t>Passe atrasado para finalização da especialista</t>
  </si>
  <si>
    <t>Subida no tempo correto</t>
  </si>
  <si>
    <t>Transição ofensiva indireta 4:0 ESP lat direita</t>
  </si>
  <si>
    <t>Recepção segura próxima à área</t>
  </si>
  <si>
    <t>Passe para lateral após troca de posição</t>
  </si>
  <si>
    <t>Leitura correta do lado da troca</t>
  </si>
  <si>
    <t>Transição ofensiva indireta 4:0 ESP central esquerda</t>
  </si>
  <si>
    <t>Recepção aérea correta</t>
  </si>
  <si>
    <t>Passe para ataque ao espaço livre</t>
  </si>
  <si>
    <t>Indução ao passe longo</t>
  </si>
  <si>
    <t>Transição ofensiva indireta 4:0 ESP central direita</t>
  </si>
  <si>
    <t>Giro convertido</t>
  </si>
  <si>
    <t>Passe que quebra a defesa 3x0</t>
  </si>
  <si>
    <t>Indução ao erro técnico</t>
  </si>
  <si>
    <t>Transição defensiva direta 2x1</t>
  </si>
  <si>
    <t>Aérea convertida</t>
  </si>
  <si>
    <t>Passe que quebra a defesa 2x1</t>
  </si>
  <si>
    <t>Fechamento da linha de passe para especialista</t>
  </si>
  <si>
    <t>Transição defensiva direta 3x0 - 1ª Base</t>
  </si>
  <si>
    <t>Proteção da bola sem falta</t>
  </si>
  <si>
    <t>Passe que gera gol de 2 pontos</t>
  </si>
  <si>
    <t>Marcação indireta da especialista</t>
  </si>
  <si>
    <t>Transição defensiva direta 3x0 - 1ª Solta</t>
  </si>
  <si>
    <t>Bloqueio ofensivo legal</t>
  </si>
  <si>
    <t>Passe que gera tiro de 6m</t>
  </si>
  <si>
    <t>Posicionamento correto atrás da pivô</t>
  </si>
  <si>
    <t>Transição defensiva direta 3x0 - 1ª API</t>
  </si>
  <si>
    <t>Desmarque curto para receber</t>
  </si>
  <si>
    <t>Passe forçado para lateral marcada</t>
  </si>
  <si>
    <t>Controle da pivô sem contato ilegal</t>
  </si>
  <si>
    <t>Transição defensiva direta 3x0</t>
  </si>
  <si>
    <t>Organização correta do ataque</t>
  </si>
  <si>
    <t>Passe forçado para pivô sem linha</t>
  </si>
  <si>
    <t>Fechamento da linha de passe para pivô</t>
  </si>
  <si>
    <t>Transição defensiva direta 0x3</t>
  </si>
  <si>
    <t>Passe inicial seguro</t>
  </si>
  <si>
    <t>Passe interceptado pela Base</t>
  </si>
  <si>
    <t>Defesa do passe aéreo para pivô</t>
  </si>
  <si>
    <t>Transição defensiva direta individual alta</t>
  </si>
  <si>
    <t>Passe para lateral em vantagem</t>
  </si>
  <si>
    <t>Passe interceptado pela Solta</t>
  </si>
  <si>
    <t>Antecipação do passe para pivô</t>
  </si>
  <si>
    <t>Transição defensiva indireta 2x1</t>
  </si>
  <si>
    <t>Passe para pivô em vantagem</t>
  </si>
  <si>
    <t>Passe interceptado pela API</t>
  </si>
  <si>
    <t>Falsa liberdade bem executada</t>
  </si>
  <si>
    <t>Transição defensiva indireta 3x0</t>
  </si>
  <si>
    <t>Passe para especialista em vantagem</t>
  </si>
  <si>
    <t>Erro de tempo no passe para giro</t>
  </si>
  <si>
    <t>Acompanhamento da pivô</t>
  </si>
  <si>
    <t>Shoot-out ofensivo</t>
  </si>
  <si>
    <t>Passe longo correto</t>
  </si>
  <si>
    <t>Erro de tempo no passe para aérea</t>
  </si>
  <si>
    <t>Bloqueio do giro da pivô</t>
  </si>
  <si>
    <t>Shoot-out defensivo</t>
  </si>
  <si>
    <t>Passe aéreo correto</t>
  </si>
  <si>
    <t>Erro de leitura da defesa</t>
  </si>
  <si>
    <t>Proteção contra aérea</t>
  </si>
  <si>
    <t>Controle de ritmo do ataque</t>
  </si>
  <si>
    <t>Erro de decisão após finta</t>
  </si>
  <si>
    <t>Erro de posicionamento central</t>
  </si>
  <si>
    <t>Chamada correta do sistema</t>
  </si>
  <si>
    <t>Saiu do centro sem cobertura</t>
  </si>
  <si>
    <t>Erro de recepção</t>
  </si>
  <si>
    <t>Perdeu a especialista</t>
  </si>
  <si>
    <t>Passe errado</t>
  </si>
  <si>
    <t>Perdeu a pivô</t>
  </si>
  <si>
    <t>Passe interceptado</t>
  </si>
  <si>
    <t>Chegou atrasada no bloqueio</t>
  </si>
  <si>
    <t>Arremesso para fora</t>
  </si>
  <si>
    <t>Falhou na comunicação</t>
  </si>
  <si>
    <t>Arremesso bloqueado</t>
  </si>
  <si>
    <t>Subiu fora do tempo</t>
  </si>
  <si>
    <t>Arremesso sem ângulo</t>
  </si>
  <si>
    <t>Recuou tarde</t>
  </si>
  <si>
    <t>Erro de tempo na aérea</t>
  </si>
  <si>
    <t>Abriu passe longo fácil</t>
  </si>
  <si>
    <t>Erro de tempo no giro</t>
  </si>
  <si>
    <t>Foi batida na primeira pressão</t>
  </si>
  <si>
    <t>Pisou na área</t>
  </si>
  <si>
    <t>Não retornou após pressão</t>
  </si>
  <si>
    <t>Perdeu a bola sob pressão</t>
  </si>
  <si>
    <t>Deu liberdade real para finalização</t>
  </si>
  <si>
    <t>Errou o tempo da falsa liberdade</t>
  </si>
  <si>
    <t>Arremesso precipitado</t>
  </si>
  <si>
    <t>Deixou aérea entrar</t>
  </si>
  <si>
    <t>Perda de bola por demora na decisão</t>
  </si>
  <si>
    <t>Não fechou a linha da área</t>
  </si>
  <si>
    <t>Assistência para pivô</t>
  </si>
  <si>
    <t>Escolheu pressionar quando deveria proteger o centro</t>
  </si>
  <si>
    <t>Assistência para especialista</t>
  </si>
  <si>
    <t>Pressionou sem cobertura</t>
  </si>
  <si>
    <t>Assistência para central</t>
  </si>
  <si>
    <t>Tentou roubar bola sem leitura</t>
  </si>
  <si>
    <t>Assistência em aérea</t>
  </si>
  <si>
    <t>Marcou a bola e esqueceu a pivô</t>
  </si>
  <si>
    <t>Assistência para lateral esquerda</t>
  </si>
  <si>
    <t>Indução de erro ofensivo</t>
  </si>
  <si>
    <t>Assistência para lateral direita</t>
  </si>
  <si>
    <t>Forçou passe longo</t>
  </si>
  <si>
    <t>Forçou finalização marcada</t>
  </si>
  <si>
    <t>Forçou arremesso ruim</t>
  </si>
  <si>
    <t>Forçou passe para pivô sem linha</t>
  </si>
  <si>
    <t>Gerou falta de ataque</t>
  </si>
  <si>
    <t>Não viu atleta livre</t>
  </si>
  <si>
    <t>Bloqueio que impediu gol</t>
  </si>
  <si>
    <t>Prendeu a bola e atrasou o ataque</t>
  </si>
  <si>
    <t>Roubo de bola</t>
  </si>
  <si>
    <t>Não acelerou em vantagem numérica</t>
  </si>
  <si>
    <t>Passe recuperado</t>
  </si>
  <si>
    <t>Não identificou pivô livre</t>
  </si>
  <si>
    <t>Gerou contra-ataque</t>
  </si>
  <si>
    <t>Não identificou especialista livre</t>
  </si>
  <si>
    <t>Bloqueio de giro</t>
  </si>
  <si>
    <t>Bloqueio duplo efetivo</t>
  </si>
  <si>
    <t>Contato ofensivo ilegal</t>
  </si>
  <si>
    <t>Contato ilegal</t>
  </si>
  <si>
    <t>Invasão da área</t>
  </si>
  <si>
    <t>Contato no ar</t>
  </si>
  <si>
    <t>Substituição irregular</t>
  </si>
  <si>
    <t>Tiro de 6m cometido</t>
  </si>
  <si>
    <t>Falta defensiva desnecessária</t>
  </si>
  <si>
    <t>Contato ilegal na pivô</t>
  </si>
  <si>
    <t>SCOUT V_1.1 — Handebol de Praia</t>
  </si>
  <si>
    <t>Uma linha = um evento. 4 blocos de ataque + 3 blocos de defesa, com função, categoria, ação e resultado individual.</t>
  </si>
  <si>
    <t>Controle do jogo</t>
  </si>
  <si>
    <t>Placar CEPRAEA</t>
  </si>
  <si>
    <t>Placar adversário</t>
  </si>
  <si>
    <t>Diferença no placar</t>
  </si>
  <si>
    <t>Situação do placar</t>
  </si>
  <si>
    <t>Reposição</t>
  </si>
  <si>
    <t>Atleta Ataque 1</t>
  </si>
  <si>
    <t>Função Ataque 1</t>
  </si>
  <si>
    <t>Categoria Ataque 1</t>
  </si>
  <si>
    <t>Ação Ataque 1</t>
  </si>
  <si>
    <t>Resultado Ind. Atq 1</t>
  </si>
  <si>
    <t>Atleta Ataque 2</t>
  </si>
  <si>
    <t>Função Ataque 2</t>
  </si>
  <si>
    <t>Categoria Ataque 2</t>
  </si>
  <si>
    <t>Ação Ataque 2</t>
  </si>
  <si>
    <t>Resultado Ind. Atq 2</t>
  </si>
  <si>
    <t>Atleta Ataque 3</t>
  </si>
  <si>
    <t>Função Ataque 3</t>
  </si>
  <si>
    <t>Categoria Ataque 3</t>
  </si>
  <si>
    <t>Ação Ataque 3</t>
  </si>
  <si>
    <t>Resultado Ind. Atq 3</t>
  </si>
  <si>
    <t>Atleta Ataque 4</t>
  </si>
  <si>
    <t>Função Ataque 4</t>
  </si>
  <si>
    <t>Categoria Ataque 4</t>
  </si>
  <si>
    <t>Ação Ataque 4</t>
  </si>
  <si>
    <t>Resultado Ind. Atq 4</t>
  </si>
  <si>
    <t>Atleta Defesa 1</t>
  </si>
  <si>
    <t>Função Defesa 1</t>
  </si>
  <si>
    <t>Categoria Defesa 1</t>
  </si>
  <si>
    <t>Ação Defesa 1</t>
  </si>
  <si>
    <t>Resultado Ind. Def 1</t>
  </si>
  <si>
    <t>Atleta Defesa 2</t>
  </si>
  <si>
    <t>Função Defesa 2</t>
  </si>
  <si>
    <t>Categoria Defesa 2</t>
  </si>
  <si>
    <t>Ação Defesa 2</t>
  </si>
  <si>
    <t>Resultado Ind. Def 2</t>
  </si>
  <si>
    <t>Atleta Defesa 3</t>
  </si>
  <si>
    <t>Função Defesa 3</t>
  </si>
  <si>
    <t>Categoria Defesa 3</t>
  </si>
  <si>
    <t>Ação Defesa 3</t>
  </si>
  <si>
    <t>Resultado Ind. Def 3</t>
  </si>
  <si>
    <t>Revisar vídeo</t>
  </si>
  <si>
    <t>00:14</t>
  </si>
  <si>
    <t>Centro</t>
  </si>
  <si>
    <t>Central fixou a base e pivô finalizou em giro.</t>
  </si>
  <si>
    <t>01:02</t>
  </si>
  <si>
    <t>Área</t>
  </si>
  <si>
    <t>Gabi Peixinho</t>
  </si>
  <si>
    <t>API</t>
  </si>
  <si>
    <t>Base antecipou passe central após pressão da solta.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</si>
</sst>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8" x14ac:knownFonts="1">
    <font>
      <sz val="11"/>
      <color theme="1"/>
      <name val="Calibri"/>
      <family val="2"/>
      <scheme val="minor"/>
    </font>
    <font>
      <sz val="18"/>
      <color rgb="FFffffff"/>
      <name val="Aptos"/>
      <family val="2"/>
    </font>
    <font>
      <sz val="11"/>
      <color theme="1"/>
      <name val="Calibri"/>
      <family val="2"/>
    </font>
    <font>
      <sz val="10"/>
      <color rgb="FFffffff"/>
      <name val="Aptos"/>
      <family val="2"/>
    </font>
    <font>
      <sz val="10"/>
      <color rgb="FF1f2933"/>
      <name val="Aptos"/>
      <family val="2"/>
    </font>
    <font>
      <sz val="11"/>
      <color rgb="FF000000"/>
      <name val="Calibri"/>
      <family val="2"/>
    </font>
    <font>
      <sz val="11"/>
      <color rgb="FF1f2933"/>
      <name val="Aptos"/>
      <family val="2"/>
    </font>
    <font>
      <sz val="16"/>
      <color rgb="FF1f4e78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d3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6a5acd"/>
      </patternFill>
    </fill>
    <fill>
      <patternFill patternType="solid">
        <fgColor rgb="FF7f8c8d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46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wrapText="1"/>
    </xf>
    <xf xfId="0" numFmtId="3" applyNumberFormat="1" borderId="3" applyBorder="1" fontId="3" applyFont="1" fillId="2" applyFill="1" applyAlignment="1">
      <alignment horizontal="left" wrapText="1"/>
    </xf>
    <xf xfId="0" numFmtId="0" borderId="3" applyBorder="1" fontId="3" applyFont="1" fillId="2" applyFill="1" applyAlignment="1">
      <alignment horizontal="left" wrapText="1"/>
    </xf>
    <xf xfId="0" numFmtId="3" applyNumberFormat="1" borderId="3" applyBorder="1" fontId="4" applyFont="1" fillId="0" applyAlignment="1">
      <alignment horizontal="left" wrapText="1"/>
    </xf>
    <xf xfId="0" numFmtId="0" borderId="3" applyBorder="1" fontId="4" applyFont="1" fillId="0" applyAlignment="1">
      <alignment horizontal="left" wrapText="1"/>
    </xf>
    <xf xfId="0" numFmtId="3" applyNumberFormat="1" borderId="1" applyBorder="1" fontId="3" applyFont="1" fillId="3" applyFill="1" applyAlignment="1">
      <alignment horizontal="left"/>
    </xf>
    <xf xfId="0" numFmtId="3" applyNumberFormat="1" borderId="3" applyBorder="1" fontId="4" applyFont="1" fillId="0" applyAlignment="1">
      <alignment horizontal="right" wrapText="1"/>
    </xf>
    <xf xfId="0" numFmtId="0" borderId="3" applyBorder="1" fontId="4" applyFont="1" fillId="4" applyFill="1" applyAlignment="1">
      <alignment horizontal="left" wrapText="1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1" applyBorder="1" fontId="5" applyFont="1" fillId="5" applyFill="1" applyAlignment="1">
      <alignment horizontal="center"/>
    </xf>
    <xf xfId="0" numFmtId="0" borderId="1" applyBorder="1" fontId="6" applyFont="1" fillId="5" applyFill="1" applyAlignment="1">
      <alignment horizontal="center"/>
    </xf>
    <xf xfId="0" numFmtId="0" borderId="2" applyBorder="1" fontId="7" applyFont="1" fillId="0" applyAlignment="1">
      <alignment horizontal="center"/>
    </xf>
    <xf xfId="0" numFmtId="0" borderId="1" applyBorder="1" fontId="3" applyFont="1" fillId="3" applyFill="1" applyAlignment="1">
      <alignment horizontal="left"/>
    </xf>
    <xf xfId="0" numFmtId="0" borderId="1" applyBorder="1" fontId="3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0" borderId="3" applyBorder="1" fontId="3" applyFont="1" fillId="2" applyFill="1" applyAlignment="1">
      <alignment horizontal="left"/>
    </xf>
    <xf xfId="0" numFmtId="0" borderId="0" fontId="0" fillId="0" applyAlignment="1">
      <alignment horizontal="right"/>
    </xf>
    <xf xfId="0" numFmtId="164" applyNumberFormat="1" borderId="2" applyBorder="1" fontId="5" applyFont="1" fillId="0" applyAlignment="1">
      <alignment horizontal="right"/>
    </xf>
    <xf xfId="0" numFmtId="0" borderId="0" fontId="0" fillId="0" applyAlignment="1">
      <alignment horizontal="right"/>
    </xf>
    <xf xfId="0" numFmtId="0" borderId="3" applyBorder="1" fontId="3" applyFont="1" fillId="2" applyFill="1" applyAlignment="1">
      <alignment horizontal="center" wrapText="1"/>
    </xf>
    <xf xfId="0" numFmtId="0" borderId="3" applyBorder="1" fontId="5" applyFont="1" fillId="6" applyFill="1" applyAlignment="1">
      <alignment horizontal="left" wrapText="1"/>
    </xf>
    <xf xfId="0" numFmtId="0" borderId="3" applyBorder="1" fontId="3" applyFont="1" fillId="2" applyFill="1" applyAlignment="1">
      <alignment horizontal="center"/>
    </xf>
    <xf xfId="0" numFmtId="0" borderId="2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1" applyBorder="1" fontId="4" applyFont="1" fillId="5" applyFill="1" applyAlignment="1">
      <alignment horizontal="center"/>
    </xf>
    <xf xfId="0" numFmtId="3" applyNumberFormat="1" borderId="3" applyBorder="1" fontId="3" applyFont="1" fillId="2" applyFill="1" applyAlignment="1">
      <alignment horizontal="center" wrapText="1"/>
    </xf>
    <xf xfId="0" numFmtId="0" borderId="3" applyBorder="1" fontId="3" applyFont="1" fillId="3" applyFill="1" applyAlignment="1">
      <alignment horizontal="center" wrapText="1"/>
    </xf>
    <xf xfId="0" numFmtId="0" borderId="3" applyBorder="1" fontId="3" applyFont="1" fillId="7" applyFill="1" applyAlignment="1">
      <alignment horizontal="center" wrapText="1"/>
    </xf>
    <xf xfId="0" numFmtId="0" borderId="3" applyBorder="1" fontId="3" applyFont="1" fillId="8" applyFill="1" applyAlignment="1">
      <alignment horizontal="center" wrapText="1"/>
    </xf>
    <xf xfId="0" numFmtId="0" borderId="3" applyBorder="1" fontId="5" applyFont="1" fillId="0" applyAlignment="1">
      <alignment horizontal="left"/>
    </xf>
    <xf xfId="0" numFmtId="0" borderId="3" applyBorder="1" fontId="5" applyFont="1" fillId="0" applyAlignment="1">
      <alignment horizontal="left"/>
    </xf>
    <xf xfId="0" numFmtId="3" applyNumberFormat="1" borderId="3" applyBorder="1" fontId="5" applyFont="1" fillId="0" applyAlignment="1">
      <alignment horizontal="right"/>
    </xf>
    <xf xfId="0" numFmtId="0" borderId="3" applyBorder="1" fontId="5" applyFont="1" fillId="0" applyAlignment="1">
      <alignment horizontal="left" wrapText="1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ables/table1.xml><?xml version="1.0" encoding="utf-8"?>
<table xmlns="http://schemas.openxmlformats.org/spreadsheetml/2006/main" ref="A4:BC104" displayName="tbScout" name="tbScout" id="1" totalsRowShown="0">
  <autoFilter ref="A4:BC104"/>
  <tableColumns count="55">
    <tableColumn name="ID Evento" id="1"/>
    <tableColumn name="Tempo de jogo" id="2"/>
    <tableColumn name="Set" id="3"/>
    <tableColumn name="Controle do jogo" id="4"/>
    <tableColumn name="Placar CEPRAEA" id="5"/>
    <tableColumn name="Placar adversário" id="6"/>
    <tableColumn name="Diferença no placar" id="7"/>
    <tableColumn name="Situação do placar" id="8"/>
    <tableColumn name="Equipe analisada" id="9"/>
    <tableColumn name="Adversário" id="10"/>
    <tableColumn name="Posse de bola" id="11"/>
    <tableColumn name="Fase do jogo" id="12"/>
    <tableColumn name="Sistema" id="13"/>
    <tableColumn name="Lado da ação" id="14"/>
    <tableColumn name="Goleira" id="15"/>
    <tableColumn name="Reposição" id="16"/>
    <tableColumn name="Atleta Ataque 1" id="17"/>
    <tableColumn name="Função Ataque 1" id="18"/>
    <tableColumn name="Categoria Ataque 1" id="19"/>
    <tableColumn name="Ação Ataque 1" id="20"/>
    <tableColumn name="Resultado Ind. Atq 1" id="21"/>
    <tableColumn name="Atleta Ataque 2" id="22"/>
    <tableColumn name="Função Ataque 2" id="23"/>
    <tableColumn name="Categoria Ataque 2" id="24"/>
    <tableColumn name="Ação Ataque 2" id="25"/>
    <tableColumn name="Resultado Ind. Atq 2" id="26"/>
    <tableColumn name="Atleta Ataque 3" id="27"/>
    <tableColumn name="Função Ataque 3" id="28"/>
    <tableColumn name="Categoria Ataque 3" id="29"/>
    <tableColumn name="Ação Ataque 3" id="30"/>
    <tableColumn name="Resultado Ind. Atq 3" id="31"/>
    <tableColumn name="Atleta Ataque 4" id="32"/>
    <tableColumn name="Função Ataque 4" id="33"/>
    <tableColumn name="Categoria Ataque 4" id="34"/>
    <tableColumn name="Ação Ataque 4" id="35"/>
    <tableColumn name="Resultado Ind. Atq 4" id="36"/>
    <tableColumn name="Atleta Defesa 1" id="37"/>
    <tableColumn name="Função Defesa 1" id="38"/>
    <tableColumn name="Categoria Defesa 1" id="39"/>
    <tableColumn name="Ação Defesa 1" id="40"/>
    <tableColumn name="Resultado Ind. Def 1" id="41"/>
    <tableColumn name="Atleta Defesa 2" id="42"/>
    <tableColumn name="Função Defesa 2" id="43"/>
    <tableColumn name="Categoria Defesa 2" id="44"/>
    <tableColumn name="Ação Defesa 2" id="45"/>
    <tableColumn name="Resultado Ind. Def 2" id="46"/>
    <tableColumn name="Atleta Defesa 3" id="47"/>
    <tableColumn name="Função Defesa 3" id="48"/>
    <tableColumn name="Categoria Defesa 3" id="49"/>
    <tableColumn name="Ação Defesa 3" id="50"/>
    <tableColumn name="Resultado Ind. Def 3" id="51"/>
    <tableColumn name="Análise" id="52"/>
    <tableColumn name="Resultado coletivo" id="53"/>
    <tableColumn name="Observação" id="54"/>
    <tableColumn name="Revisar vídeo" id="5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104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34" width="10.005" customWidth="1" bestFit="1"/>
    <col min="2" max="2" style="24" width="12.005" customWidth="1" bestFit="1"/>
    <col min="3" max="3" style="24" width="11.005" customWidth="1" bestFit="1"/>
    <col min="4" max="4" style="24" width="24.005" customWidth="1" bestFit="1"/>
    <col min="5" max="5" style="45" width="14.005" customWidth="1" bestFit="1"/>
    <col min="6" max="6" style="45" width="16.005" customWidth="1" bestFit="1"/>
    <col min="7" max="7" style="34" width="15.005" customWidth="1" bestFit="1"/>
    <col min="8" max="8" style="34" width="16.005" customWidth="1" bestFit="1"/>
    <col min="9" max="9" style="24" width="18.005" customWidth="1" bestFit="1"/>
    <col min="10" max="10" style="24" width="20.005" customWidth="1" bestFit="1"/>
    <col min="11" max="11" style="24" width="14.005" customWidth="1" bestFit="1"/>
    <col min="12" max="12" style="24" width="24.005" customWidth="1" bestFit="1"/>
    <col min="13" max="13" style="24" width="34.005" customWidth="1" bestFit="1"/>
    <col min="14" max="14" style="24" width="18.005" customWidth="1" bestFit="1"/>
    <col min="15" max="15" style="24" width="18.005" customWidth="1" bestFit="1"/>
    <col min="16" max="16" style="24" width="22.005" customWidth="1" bestFit="1"/>
    <col min="17" max="17" style="24" width="18.005" customWidth="1" bestFit="1"/>
    <col min="18" max="18" style="24" width="18.005" customWidth="1" bestFit="1"/>
    <col min="19" max="19" style="24" width="28.005" customWidth="1" bestFit="1"/>
    <col min="20" max="20" style="15" width="42.005" customWidth="1" bestFit="1"/>
    <col min="21" max="21" style="24" width="18.005" customWidth="1" bestFit="1"/>
    <col min="22" max="22" style="24" width="18.005" customWidth="1" bestFit="1"/>
    <col min="23" max="23" style="24" width="18.005" customWidth="1" bestFit="1"/>
    <col min="24" max="24" style="24" width="28.005" customWidth="1" bestFit="1"/>
    <col min="25" max="25" style="15" width="42.005" customWidth="1" bestFit="1"/>
    <col min="26" max="26" style="24" width="18.005" customWidth="1" bestFit="1"/>
    <col min="27" max="27" style="15" width="18.005" customWidth="1" bestFit="1"/>
    <col min="28" max="28" style="15" width="18.005" customWidth="1" bestFit="1"/>
    <col min="29" max="29" style="15" width="28.005" customWidth="1" bestFit="1"/>
    <col min="30" max="30" style="15" width="42.005" customWidth="1" bestFit="1"/>
    <col min="31" max="31" style="15" width="18.005" customWidth="1" bestFit="1"/>
    <col min="32" max="32" style="15" width="18.005" customWidth="1" bestFit="1"/>
    <col min="33" max="33" style="15" width="18.005" customWidth="1" bestFit="1"/>
    <col min="34" max="34" style="15" width="28.005" customWidth="1" bestFit="1"/>
    <col min="35" max="35" style="15" width="42.005" customWidth="1" bestFit="1"/>
    <col min="36" max="36" style="15" width="18.005" customWidth="1" bestFit="1"/>
    <col min="37" max="37" style="24" width="18.005" customWidth="1" bestFit="1"/>
    <col min="38" max="38" style="24" width="16.005" customWidth="1" bestFit="1"/>
    <col min="39" max="39" style="24" width="28.005" customWidth="1" bestFit="1"/>
    <col min="40" max="40" style="15" width="42.005" customWidth="1" bestFit="1"/>
    <col min="41" max="41" style="24" width="18.005" customWidth="1" bestFit="1"/>
    <col min="42" max="42" style="24" width="18.005" customWidth="1" bestFit="1"/>
    <col min="43" max="43" style="24" width="16.005" customWidth="1" bestFit="1"/>
    <col min="44" max="44" style="24" width="28.005" customWidth="1" bestFit="1"/>
    <col min="45" max="45" style="15" width="42.005" customWidth="1" bestFit="1"/>
    <col min="46" max="46" style="24" width="18.005" customWidth="1" bestFit="1"/>
    <col min="47" max="47" style="24" width="18.005" customWidth="1" bestFit="1"/>
    <col min="48" max="48" style="24" width="16.005" customWidth="1" bestFit="1"/>
    <col min="49" max="49" style="24" width="28.005" customWidth="1" bestFit="1"/>
    <col min="50" max="50" style="15" width="42.005" customWidth="1" bestFit="1"/>
    <col min="51" max="51" style="24" width="18.005" customWidth="1" bestFit="1"/>
    <col min="52" max="52" style="24" width="14.005" customWidth="1" bestFit="1"/>
    <col min="53" max="53" style="24" width="24.005" customWidth="1" bestFit="1"/>
    <col min="54" max="54" style="15" width="38.005" customWidth="1" bestFit="1"/>
    <col min="55" max="55" style="24" width="12.005" customWidth="1" bestFit="1"/>
  </cols>
  <sheetData>
    <row x14ac:dyDescent="0.25" r="1" customHeight="1" ht="28">
      <c r="A1" s="16" t="s">
        <v>464</v>
      </c>
      <c r="B1" s="17"/>
      <c r="C1" s="17"/>
      <c r="D1" s="17"/>
      <c r="E1" s="4"/>
      <c r="F1" s="4"/>
      <c r="G1" s="35"/>
      <c r="H1" s="35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2"/>
      <c r="U1" s="17"/>
      <c r="V1" s="17"/>
      <c r="W1" s="17"/>
      <c r="X1" s="17"/>
      <c r="Y1" s="2"/>
      <c r="Z1" s="17"/>
      <c r="AA1" s="2"/>
      <c r="AB1" s="2"/>
      <c r="AC1" s="2"/>
      <c r="AD1" s="2"/>
      <c r="AE1" s="2"/>
      <c r="AF1" s="2"/>
      <c r="AG1" s="2"/>
      <c r="AH1" s="2"/>
      <c r="AI1" s="2"/>
      <c r="AJ1" s="2"/>
      <c r="AK1" s="17"/>
      <c r="AL1" s="17"/>
      <c r="AM1" s="17"/>
      <c r="AN1" s="2"/>
      <c r="AO1" s="17"/>
      <c r="AP1" s="17"/>
      <c r="AQ1" s="17"/>
      <c r="AR1" s="17"/>
      <c r="AS1" s="2"/>
      <c r="AT1" s="17"/>
      <c r="AU1" s="17"/>
      <c r="AV1" s="17"/>
      <c r="AW1" s="17"/>
      <c r="AX1" s="2"/>
      <c r="AY1" s="17"/>
      <c r="AZ1" s="17"/>
      <c r="BA1" s="17"/>
      <c r="BB1" s="2"/>
      <c r="BC1" s="17"/>
    </row>
    <row x14ac:dyDescent="0.25" r="2" customHeight="1" ht="18.75">
      <c r="A2" s="36" t="s">
        <v>465</v>
      </c>
      <c r="B2" s="17"/>
      <c r="C2" s="17"/>
      <c r="D2" s="17"/>
      <c r="E2" s="4"/>
      <c r="F2" s="4"/>
      <c r="G2" s="35"/>
      <c r="H2" s="35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2"/>
      <c r="U2" s="17"/>
      <c r="V2" s="17"/>
      <c r="W2" s="17"/>
      <c r="X2" s="17"/>
      <c r="Y2" s="2"/>
      <c r="Z2" s="17"/>
      <c r="AA2" s="2"/>
      <c r="AB2" s="2"/>
      <c r="AC2" s="2"/>
      <c r="AD2" s="2"/>
      <c r="AE2" s="2"/>
      <c r="AF2" s="2"/>
      <c r="AG2" s="2"/>
      <c r="AH2" s="2"/>
      <c r="AI2" s="2"/>
      <c r="AJ2" s="2"/>
      <c r="AK2" s="17"/>
      <c r="AL2" s="17"/>
      <c r="AM2" s="17"/>
      <c r="AN2" s="2"/>
      <c r="AO2" s="17"/>
      <c r="AP2" s="17"/>
      <c r="AQ2" s="17"/>
      <c r="AR2" s="17"/>
      <c r="AS2" s="2"/>
      <c r="AT2" s="17"/>
      <c r="AU2" s="17"/>
      <c r="AV2" s="17"/>
      <c r="AW2" s="17"/>
      <c r="AX2" s="2"/>
      <c r="AY2" s="17"/>
      <c r="AZ2" s="17"/>
      <c r="BA2" s="17"/>
      <c r="BB2" s="2"/>
      <c r="BC2" s="17"/>
    </row>
    <row x14ac:dyDescent="0.25" r="3" customHeight="1" ht="18.75">
      <c r="A3" s="35"/>
      <c r="B3" s="17"/>
      <c r="C3" s="17"/>
      <c r="D3" s="17"/>
      <c r="E3" s="4"/>
      <c r="F3" s="4"/>
      <c r="G3" s="35"/>
      <c r="H3" s="35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2"/>
      <c r="U3" s="17"/>
      <c r="V3" s="17"/>
      <c r="W3" s="17"/>
      <c r="X3" s="17"/>
      <c r="Y3" s="2"/>
      <c r="Z3" s="17"/>
      <c r="AA3" s="2"/>
      <c r="AB3" s="2"/>
      <c r="AC3" s="2"/>
      <c r="AD3" s="2"/>
      <c r="AE3" s="2"/>
      <c r="AF3" s="2"/>
      <c r="AG3" s="2"/>
      <c r="AH3" s="2"/>
      <c r="AI3" s="2"/>
      <c r="AJ3" s="2"/>
      <c r="AK3" s="17"/>
      <c r="AL3" s="17"/>
      <c r="AM3" s="17"/>
      <c r="AN3" s="2"/>
      <c r="AO3" s="17"/>
      <c r="AP3" s="17"/>
      <c r="AQ3" s="17"/>
      <c r="AR3" s="17"/>
      <c r="AS3" s="2"/>
      <c r="AT3" s="17"/>
      <c r="AU3" s="17"/>
      <c r="AV3" s="17"/>
      <c r="AW3" s="17"/>
      <c r="AX3" s="2"/>
      <c r="AY3" s="17"/>
      <c r="AZ3" s="17"/>
      <c r="BA3" s="17"/>
      <c r="BB3" s="2"/>
      <c r="BC3" s="17"/>
    </row>
    <row x14ac:dyDescent="0.25" r="4" customHeight="1" ht="42" customFormat="1" s="5">
      <c r="A4" s="30" t="s">
        <v>97</v>
      </c>
      <c r="B4" s="30" t="s">
        <v>98</v>
      </c>
      <c r="C4" s="30" t="s">
        <v>99</v>
      </c>
      <c r="D4" s="30" t="s">
        <v>466</v>
      </c>
      <c r="E4" s="37" t="s">
        <v>467</v>
      </c>
      <c r="F4" s="37" t="s">
        <v>468</v>
      </c>
      <c r="G4" s="30" t="s">
        <v>469</v>
      </c>
      <c r="H4" s="30" t="s">
        <v>470</v>
      </c>
      <c r="I4" s="30" t="s">
        <v>100</v>
      </c>
      <c r="J4" s="30" t="s">
        <v>101</v>
      </c>
      <c r="K4" s="30" t="s">
        <v>102</v>
      </c>
      <c r="L4" s="30" t="s">
        <v>103</v>
      </c>
      <c r="M4" s="30" t="s">
        <v>104</v>
      </c>
      <c r="N4" s="30" t="s">
        <v>105</v>
      </c>
      <c r="O4" s="30" t="s">
        <v>189</v>
      </c>
      <c r="P4" s="30" t="s">
        <v>471</v>
      </c>
      <c r="Q4" s="38" t="s">
        <v>472</v>
      </c>
      <c r="R4" s="38" t="s">
        <v>473</v>
      </c>
      <c r="S4" s="38" t="s">
        <v>474</v>
      </c>
      <c r="T4" s="38" t="s">
        <v>475</v>
      </c>
      <c r="U4" s="38" t="s">
        <v>476</v>
      </c>
      <c r="V4" s="38" t="s">
        <v>477</v>
      </c>
      <c r="W4" s="38" t="s">
        <v>478</v>
      </c>
      <c r="X4" s="38" t="s">
        <v>479</v>
      </c>
      <c r="Y4" s="38" t="s">
        <v>480</v>
      </c>
      <c r="Z4" s="38" t="s">
        <v>481</v>
      </c>
      <c r="AA4" s="38" t="s">
        <v>482</v>
      </c>
      <c r="AB4" s="38" t="s">
        <v>483</v>
      </c>
      <c r="AC4" s="38" t="s">
        <v>484</v>
      </c>
      <c r="AD4" s="38" t="s">
        <v>485</v>
      </c>
      <c r="AE4" s="38" t="s">
        <v>486</v>
      </c>
      <c r="AF4" s="38" t="s">
        <v>487</v>
      </c>
      <c r="AG4" s="38" t="s">
        <v>488</v>
      </c>
      <c r="AH4" s="38" t="s">
        <v>489</v>
      </c>
      <c r="AI4" s="38" t="s">
        <v>490</v>
      </c>
      <c r="AJ4" s="38" t="s">
        <v>491</v>
      </c>
      <c r="AK4" s="39" t="s">
        <v>492</v>
      </c>
      <c r="AL4" s="39" t="s">
        <v>493</v>
      </c>
      <c r="AM4" s="39" t="s">
        <v>494</v>
      </c>
      <c r="AN4" s="39" t="s">
        <v>495</v>
      </c>
      <c r="AO4" s="39" t="s">
        <v>496</v>
      </c>
      <c r="AP4" s="39" t="s">
        <v>497</v>
      </c>
      <c r="AQ4" s="39" t="s">
        <v>498</v>
      </c>
      <c r="AR4" s="39" t="s">
        <v>499</v>
      </c>
      <c r="AS4" s="39" t="s">
        <v>500</v>
      </c>
      <c r="AT4" s="39" t="s">
        <v>501</v>
      </c>
      <c r="AU4" s="39" t="s">
        <v>502</v>
      </c>
      <c r="AV4" s="39" t="s">
        <v>503</v>
      </c>
      <c r="AW4" s="39" t="s">
        <v>504</v>
      </c>
      <c r="AX4" s="39" t="s">
        <v>505</v>
      </c>
      <c r="AY4" s="39" t="s">
        <v>506</v>
      </c>
      <c r="AZ4" s="40" t="s">
        <v>110</v>
      </c>
      <c r="BA4" s="40" t="s">
        <v>111</v>
      </c>
      <c r="BB4" s="40" t="s">
        <v>112</v>
      </c>
      <c r="BC4" s="40" t="s">
        <v>507</v>
      </c>
    </row>
    <row x14ac:dyDescent="0.25" r="5" customHeight="1" ht="18.75">
      <c r="A5" s="41">
        <f>ROW()-4</f>
      </c>
      <c r="B5" s="42" t="s">
        <v>508</v>
      </c>
      <c r="C5" s="42" t="s">
        <v>136</v>
      </c>
      <c r="D5" s="42" t="s">
        <v>169</v>
      </c>
      <c r="E5" s="43">
        <v>0</v>
      </c>
      <c r="F5" s="43">
        <v>0</v>
      </c>
      <c r="G5" s="41">
        <f>IF(OR(E5="",F5=""),"",E5-F5)</f>
      </c>
      <c r="H5" s="41">
        <f>IF(G5="","",IF(G5&gt;0,"Vencendo",IF(G5&lt;0,"Perdendo","Empatado")))</f>
      </c>
      <c r="I5" s="42" t="s">
        <v>138</v>
      </c>
      <c r="J5" s="42" t="s">
        <v>155</v>
      </c>
      <c r="K5" s="42" t="s">
        <v>138</v>
      </c>
      <c r="L5" s="42" t="s">
        <v>89</v>
      </c>
      <c r="M5" s="42" t="s">
        <v>139</v>
      </c>
      <c r="N5" s="42" t="s">
        <v>509</v>
      </c>
      <c r="O5" s="42" t="s">
        <v>82</v>
      </c>
      <c r="P5" s="42" t="s">
        <v>195</v>
      </c>
      <c r="Q5" s="42" t="s">
        <v>76</v>
      </c>
      <c r="R5" s="42" t="s">
        <v>141</v>
      </c>
      <c r="S5" s="42" t="s">
        <v>143</v>
      </c>
      <c r="T5" s="44" t="s">
        <v>384</v>
      </c>
      <c r="U5" s="42" t="s">
        <v>150</v>
      </c>
      <c r="V5" s="42" t="s">
        <v>79</v>
      </c>
      <c r="W5" s="42" t="s">
        <v>188</v>
      </c>
      <c r="X5" s="42" t="s">
        <v>143</v>
      </c>
      <c r="Y5" s="44" t="s">
        <v>352</v>
      </c>
      <c r="Z5" s="42" t="s">
        <v>150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17"/>
      <c r="AL5" s="17"/>
      <c r="AM5" s="17"/>
      <c r="AN5" s="2"/>
      <c r="AO5" s="17"/>
      <c r="AP5" s="17"/>
      <c r="AQ5" s="17"/>
      <c r="AR5" s="17"/>
      <c r="AS5" s="2"/>
      <c r="AT5" s="17"/>
      <c r="AU5" s="17"/>
      <c r="AV5" s="17"/>
      <c r="AW5" s="17"/>
      <c r="AX5" s="2"/>
      <c r="AY5" s="17"/>
      <c r="AZ5" s="42" t="s">
        <v>151</v>
      </c>
      <c r="BA5" s="42" t="s">
        <v>165</v>
      </c>
      <c r="BB5" s="44" t="s">
        <v>510</v>
      </c>
      <c r="BC5" s="42" t="s">
        <v>167</v>
      </c>
    </row>
    <row x14ac:dyDescent="0.25" r="6" customHeight="1" ht="18.75">
      <c r="A6" s="41">
        <f>ROW()-4</f>
      </c>
      <c r="B6" s="42" t="s">
        <v>511</v>
      </c>
      <c r="C6" s="42" t="s">
        <v>136</v>
      </c>
      <c r="D6" s="17"/>
      <c r="E6" s="43">
        <v>2</v>
      </c>
      <c r="F6" s="43">
        <v>0</v>
      </c>
      <c r="G6" s="41">
        <f>IF(OR(E6="",F6=""),"",E6-F6)</f>
      </c>
      <c r="H6" s="41">
        <f>IF(G6="","",IF(G6&gt;0,"Vencendo",IF(G6&lt;0,"Perdendo","Empatado")))</f>
      </c>
      <c r="I6" s="42" t="s">
        <v>138</v>
      </c>
      <c r="J6" s="42" t="s">
        <v>155</v>
      </c>
      <c r="K6" s="42" t="s">
        <v>101</v>
      </c>
      <c r="L6" s="42" t="s">
        <v>90</v>
      </c>
      <c r="M6" s="42" t="s">
        <v>297</v>
      </c>
      <c r="N6" s="42" t="s">
        <v>512</v>
      </c>
      <c r="O6" s="17"/>
      <c r="P6" s="17"/>
      <c r="Q6" s="17"/>
      <c r="R6" s="17"/>
      <c r="S6" s="17"/>
      <c r="T6" s="2"/>
      <c r="U6" s="17"/>
      <c r="V6" s="17"/>
      <c r="W6" s="17"/>
      <c r="X6" s="17"/>
      <c r="Y6" s="2"/>
      <c r="Z6" s="17"/>
      <c r="AA6" s="2"/>
      <c r="AB6" s="2"/>
      <c r="AC6" s="2"/>
      <c r="AD6" s="2"/>
      <c r="AE6" s="2"/>
      <c r="AF6" s="2"/>
      <c r="AG6" s="2"/>
      <c r="AH6" s="2"/>
      <c r="AI6" s="2"/>
      <c r="AJ6" s="2"/>
      <c r="AK6" s="42" t="s">
        <v>513</v>
      </c>
      <c r="AL6" s="42" t="s">
        <v>142</v>
      </c>
      <c r="AM6" s="42" t="s">
        <v>202</v>
      </c>
      <c r="AN6" s="44" t="s">
        <v>322</v>
      </c>
      <c r="AO6" s="42" t="s">
        <v>210</v>
      </c>
      <c r="AP6" s="42" t="s">
        <v>80</v>
      </c>
      <c r="AQ6" s="42" t="s">
        <v>514</v>
      </c>
      <c r="AR6" s="42" t="s">
        <v>143</v>
      </c>
      <c r="AS6" s="44" t="s">
        <v>374</v>
      </c>
      <c r="AT6" s="42" t="s">
        <v>150</v>
      </c>
      <c r="AU6" s="42" t="s">
        <v>73</v>
      </c>
      <c r="AV6" s="42" t="s">
        <v>158</v>
      </c>
      <c r="AW6" s="42" t="s">
        <v>143</v>
      </c>
      <c r="AX6" s="44" t="s">
        <v>309</v>
      </c>
      <c r="AY6" s="42" t="s">
        <v>150</v>
      </c>
      <c r="AZ6" s="42" t="s">
        <v>151</v>
      </c>
      <c r="BA6" s="42" t="s">
        <v>253</v>
      </c>
      <c r="BB6" s="44" t="s">
        <v>515</v>
      </c>
      <c r="BC6" s="42" t="s">
        <v>167</v>
      </c>
    </row>
    <row x14ac:dyDescent="0.25" r="7" customHeight="1" ht="18.75">
      <c r="A7" s="41">
        <f>ROW()-4</f>
      </c>
      <c r="B7" s="17"/>
      <c r="C7" s="17"/>
      <c r="D7" s="17"/>
      <c r="E7" s="4"/>
      <c r="F7" s="4"/>
      <c r="G7" s="41">
        <f>IF(OR(E7="",F7=""),"",E7-F7)</f>
      </c>
      <c r="H7" s="41">
        <f>IF(G7="","",IF(G7&gt;0,"Vencendo",IF(G7&lt;0,"Perdendo","Empatado")))</f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2"/>
      <c r="U7" s="17"/>
      <c r="V7" s="17"/>
      <c r="W7" s="17"/>
      <c r="X7" s="17"/>
      <c r="Y7" s="2"/>
      <c r="Z7" s="17"/>
      <c r="AA7" s="2"/>
      <c r="AB7" s="2"/>
      <c r="AC7" s="2"/>
      <c r="AD7" s="2"/>
      <c r="AE7" s="2"/>
      <c r="AF7" s="2"/>
      <c r="AG7" s="2"/>
      <c r="AH7" s="2"/>
      <c r="AI7" s="2"/>
      <c r="AJ7" s="2"/>
      <c r="AK7" s="17"/>
      <c r="AL7" s="17"/>
      <c r="AM7" s="17"/>
      <c r="AN7" s="2"/>
      <c r="AO7" s="17"/>
      <c r="AP7" s="17"/>
      <c r="AQ7" s="17"/>
      <c r="AR7" s="17"/>
      <c r="AS7" s="2"/>
      <c r="AT7" s="17"/>
      <c r="AU7" s="17"/>
      <c r="AV7" s="17"/>
      <c r="AW7" s="17"/>
      <c r="AX7" s="2"/>
      <c r="AY7" s="17"/>
      <c r="AZ7" s="17"/>
      <c r="BA7" s="17"/>
      <c r="BB7" s="2"/>
      <c r="BC7" s="17"/>
    </row>
    <row x14ac:dyDescent="0.25" r="8" customHeight="1" ht="18.75">
      <c r="A8" s="41">
        <f>ROW()-4</f>
      </c>
      <c r="B8" s="17"/>
      <c r="C8" s="17"/>
      <c r="D8" s="17"/>
      <c r="E8" s="4"/>
      <c r="F8" s="4"/>
      <c r="G8" s="41">
        <f>IF(OR(E8="",F8=""),"",E8-F8)</f>
      </c>
      <c r="H8" s="41">
        <f>IF(G8="","",IF(G8&gt;0,"Vencendo",IF(G8&lt;0,"Perdendo","Empatado")))</f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2"/>
      <c r="U8" s="17"/>
      <c r="V8" s="17"/>
      <c r="W8" s="17"/>
      <c r="X8" s="17"/>
      <c r="Y8" s="2"/>
      <c r="Z8" s="17"/>
      <c r="AA8" s="2"/>
      <c r="AB8" s="2"/>
      <c r="AC8" s="2"/>
      <c r="AD8" s="2"/>
      <c r="AE8" s="2"/>
      <c r="AF8" s="2"/>
      <c r="AG8" s="2"/>
      <c r="AH8" s="2"/>
      <c r="AI8" s="2"/>
      <c r="AJ8" s="2"/>
      <c r="AK8" s="17"/>
      <c r="AL8" s="17"/>
      <c r="AM8" s="17"/>
      <c r="AN8" s="2"/>
      <c r="AO8" s="17"/>
      <c r="AP8" s="17"/>
      <c r="AQ8" s="17"/>
      <c r="AR8" s="17"/>
      <c r="AS8" s="2"/>
      <c r="AT8" s="17"/>
      <c r="AU8" s="17"/>
      <c r="AV8" s="17"/>
      <c r="AW8" s="17"/>
      <c r="AX8" s="2"/>
      <c r="AY8" s="17"/>
      <c r="AZ8" s="17"/>
      <c r="BA8" s="17"/>
      <c r="BB8" s="2"/>
      <c r="BC8" s="17"/>
    </row>
    <row x14ac:dyDescent="0.25" r="9" customHeight="1" ht="18.75">
      <c r="A9" s="41">
        <f>ROW()-4</f>
      </c>
      <c r="B9" s="17"/>
      <c r="C9" s="17"/>
      <c r="D9" s="17"/>
      <c r="E9" s="4"/>
      <c r="F9" s="4"/>
      <c r="G9" s="41">
        <f>IF(OR(E9="",F9=""),"",E9-F9)</f>
      </c>
      <c r="H9" s="41">
        <f>IF(G9="","",IF(G9&gt;0,"Vencendo",IF(G9&lt;0,"Perdendo","Empatado")))</f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"/>
      <c r="U9" s="17"/>
      <c r="V9" s="17"/>
      <c r="W9" s="17"/>
      <c r="X9" s="17"/>
      <c r="Y9" s="2"/>
      <c r="Z9" s="17"/>
      <c r="AA9" s="2"/>
      <c r="AB9" s="2"/>
      <c r="AC9" s="2"/>
      <c r="AD9" s="2"/>
      <c r="AE9" s="2"/>
      <c r="AF9" s="2"/>
      <c r="AG9" s="2"/>
      <c r="AH9" s="2"/>
      <c r="AI9" s="2"/>
      <c r="AJ9" s="2"/>
      <c r="AK9" s="17"/>
      <c r="AL9" s="17"/>
      <c r="AM9" s="17"/>
      <c r="AN9" s="2"/>
      <c r="AO9" s="17"/>
      <c r="AP9" s="17"/>
      <c r="AQ9" s="17"/>
      <c r="AR9" s="17"/>
      <c r="AS9" s="2"/>
      <c r="AT9" s="17"/>
      <c r="AU9" s="17"/>
      <c r="AV9" s="17"/>
      <c r="AW9" s="17"/>
      <c r="AX9" s="2"/>
      <c r="AY9" s="17"/>
      <c r="AZ9" s="17"/>
      <c r="BA9" s="17"/>
      <c r="BB9" s="2"/>
      <c r="BC9" s="17"/>
    </row>
    <row x14ac:dyDescent="0.25" r="10" customHeight="1" ht="18.75">
      <c r="A10" s="41">
        <f>ROW()-4</f>
      </c>
      <c r="B10" s="17"/>
      <c r="C10" s="17"/>
      <c r="D10" s="17"/>
      <c r="E10" s="4"/>
      <c r="F10" s="4"/>
      <c r="G10" s="41">
        <f>IF(OR(E10="",F10=""),"",E10-F10)</f>
      </c>
      <c r="H10" s="41">
        <f>IF(G10="","",IF(G10&gt;0,"Vencendo",IF(G10&lt;0,"Perdendo","Empatado")))</f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"/>
      <c r="U10" s="17"/>
      <c r="V10" s="17"/>
      <c r="W10" s="17"/>
      <c r="X10" s="17"/>
      <c r="Y10" s="2"/>
      <c r="Z10" s="1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17"/>
      <c r="AL10" s="17"/>
      <c r="AM10" s="17"/>
      <c r="AN10" s="2"/>
      <c r="AO10" s="17"/>
      <c r="AP10" s="17"/>
      <c r="AQ10" s="17"/>
      <c r="AR10" s="17"/>
      <c r="AS10" s="2"/>
      <c r="AT10" s="17"/>
      <c r="AU10" s="17"/>
      <c r="AV10" s="17"/>
      <c r="AW10" s="17"/>
      <c r="AX10" s="2"/>
      <c r="AY10" s="17"/>
      <c r="AZ10" s="17"/>
      <c r="BA10" s="17"/>
      <c r="BB10" s="2"/>
      <c r="BC10" s="17"/>
    </row>
    <row x14ac:dyDescent="0.25" r="11" customHeight="1" ht="18.75">
      <c r="A11" s="41">
        <f>ROW()-4</f>
      </c>
      <c r="B11" s="17"/>
      <c r="C11" s="17"/>
      <c r="D11" s="17"/>
      <c r="E11" s="4"/>
      <c r="F11" s="4"/>
      <c r="G11" s="41">
        <f>IF(OR(E11="",F11=""),"",E11-F11)</f>
      </c>
      <c r="H11" s="41">
        <f>IF(G11="","",IF(G11&gt;0,"Vencendo",IF(G11&lt;0,"Perdendo","Empatado")))</f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2"/>
      <c r="U11" s="17"/>
      <c r="V11" s="17"/>
      <c r="W11" s="17"/>
      <c r="X11" s="17"/>
      <c r="Y11" s="2"/>
      <c r="Z11" s="1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17"/>
      <c r="AL11" s="17"/>
      <c r="AM11" s="17"/>
      <c r="AN11" s="2"/>
      <c r="AO11" s="17"/>
      <c r="AP11" s="17"/>
      <c r="AQ11" s="17"/>
      <c r="AR11" s="17"/>
      <c r="AS11" s="2"/>
      <c r="AT11" s="17"/>
      <c r="AU11" s="17"/>
      <c r="AV11" s="17"/>
      <c r="AW11" s="17"/>
      <c r="AX11" s="2"/>
      <c r="AY11" s="17"/>
      <c r="AZ11" s="17"/>
      <c r="BA11" s="17"/>
      <c r="BB11" s="2"/>
      <c r="BC11" s="17"/>
    </row>
    <row x14ac:dyDescent="0.25" r="12" customHeight="1" ht="18.75">
      <c r="A12" s="41">
        <f>ROW()-4</f>
      </c>
      <c r="B12" s="17"/>
      <c r="C12" s="17"/>
      <c r="D12" s="17"/>
      <c r="E12" s="4"/>
      <c r="F12" s="4"/>
      <c r="G12" s="41">
        <f>IF(OR(E12="",F12=""),"",E12-F12)</f>
      </c>
      <c r="H12" s="41">
        <f>IF(G12="","",IF(G12&gt;0,"Vencendo",IF(G12&lt;0,"Perdendo","Empatado")))</f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2"/>
      <c r="U12" s="17"/>
      <c r="V12" s="17"/>
      <c r="W12" s="17"/>
      <c r="X12" s="17"/>
      <c r="Y12" s="2"/>
      <c r="Z12" s="17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17"/>
      <c r="AL12" s="17"/>
      <c r="AM12" s="17"/>
      <c r="AN12" s="2"/>
      <c r="AO12" s="17"/>
      <c r="AP12" s="17"/>
      <c r="AQ12" s="17"/>
      <c r="AR12" s="17"/>
      <c r="AS12" s="2"/>
      <c r="AT12" s="17"/>
      <c r="AU12" s="17"/>
      <c r="AV12" s="17"/>
      <c r="AW12" s="17"/>
      <c r="AX12" s="2"/>
      <c r="AY12" s="17"/>
      <c r="AZ12" s="17"/>
      <c r="BA12" s="17"/>
      <c r="BB12" s="2"/>
      <c r="BC12" s="17"/>
    </row>
    <row x14ac:dyDescent="0.25" r="13" customHeight="1" ht="18.75">
      <c r="A13" s="41">
        <f>ROW()-4</f>
      </c>
      <c r="B13" s="17"/>
      <c r="C13" s="17"/>
      <c r="D13" s="17"/>
      <c r="E13" s="4"/>
      <c r="F13" s="4"/>
      <c r="G13" s="41">
        <f>IF(OR(E13="",F13=""),"",E13-F13)</f>
      </c>
      <c r="H13" s="41">
        <f>IF(G13="","",IF(G13&gt;0,"Vencendo",IF(G13&lt;0,"Perdendo","Empatado")))</f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"/>
      <c r="U13" s="17"/>
      <c r="V13" s="17"/>
      <c r="W13" s="17"/>
      <c r="X13" s="17"/>
      <c r="Y13" s="2"/>
      <c r="Z13" s="17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17"/>
      <c r="AL13" s="17"/>
      <c r="AM13" s="17"/>
      <c r="AN13" s="2"/>
      <c r="AO13" s="17"/>
      <c r="AP13" s="17"/>
      <c r="AQ13" s="17"/>
      <c r="AR13" s="17"/>
      <c r="AS13" s="2"/>
      <c r="AT13" s="17"/>
      <c r="AU13" s="17"/>
      <c r="AV13" s="17"/>
      <c r="AW13" s="17"/>
      <c r="AX13" s="2"/>
      <c r="AY13" s="17"/>
      <c r="AZ13" s="17"/>
      <c r="BA13" s="17"/>
      <c r="BB13" s="2"/>
      <c r="BC13" s="17"/>
    </row>
    <row x14ac:dyDescent="0.25" r="14" customHeight="1" ht="18.75">
      <c r="A14" s="41">
        <f>ROW()-4</f>
      </c>
      <c r="B14" s="17"/>
      <c r="C14" s="17"/>
      <c r="D14" s="17"/>
      <c r="E14" s="4"/>
      <c r="F14" s="4"/>
      <c r="G14" s="41">
        <f>IF(OR(E14="",F14=""),"",E14-F14)</f>
      </c>
      <c r="H14" s="41">
        <f>IF(G14="","",IF(G14&gt;0,"Vencendo",IF(G14&lt;0,"Perdendo","Empatado")))</f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"/>
      <c r="U14" s="17"/>
      <c r="V14" s="17"/>
      <c r="W14" s="17"/>
      <c r="X14" s="17"/>
      <c r="Y14" s="2"/>
      <c r="Z14" s="17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17"/>
      <c r="AL14" s="17"/>
      <c r="AM14" s="17"/>
      <c r="AN14" s="2"/>
      <c r="AO14" s="17"/>
      <c r="AP14" s="17"/>
      <c r="AQ14" s="17"/>
      <c r="AR14" s="17"/>
      <c r="AS14" s="2"/>
      <c r="AT14" s="17"/>
      <c r="AU14" s="17"/>
      <c r="AV14" s="17"/>
      <c r="AW14" s="17"/>
      <c r="AX14" s="2"/>
      <c r="AY14" s="17"/>
      <c r="AZ14" s="17"/>
      <c r="BA14" s="17"/>
      <c r="BB14" s="2"/>
      <c r="BC14" s="17"/>
    </row>
    <row x14ac:dyDescent="0.25" r="15" customHeight="1" ht="18.75">
      <c r="A15" s="41">
        <f>ROW()-4</f>
      </c>
      <c r="B15" s="17"/>
      <c r="C15" s="17"/>
      <c r="D15" s="17"/>
      <c r="E15" s="4"/>
      <c r="F15" s="4"/>
      <c r="G15" s="41">
        <f>IF(OR(E15="",F15=""),"",E15-F15)</f>
      </c>
      <c r="H15" s="41">
        <f>IF(G15="","",IF(G15&gt;0,"Vencendo",IF(G15&lt;0,"Perdendo","Empatado")))</f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2"/>
      <c r="U15" s="17"/>
      <c r="V15" s="17"/>
      <c r="W15" s="17"/>
      <c r="X15" s="17"/>
      <c r="Y15" s="2"/>
      <c r="Z15" s="17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17"/>
      <c r="AL15" s="17"/>
      <c r="AM15" s="17"/>
      <c r="AN15" s="2"/>
      <c r="AO15" s="17"/>
      <c r="AP15" s="17"/>
      <c r="AQ15" s="17"/>
      <c r="AR15" s="17"/>
      <c r="AS15" s="2"/>
      <c r="AT15" s="17"/>
      <c r="AU15" s="17"/>
      <c r="AV15" s="17"/>
      <c r="AW15" s="17"/>
      <c r="AX15" s="2"/>
      <c r="AY15" s="17"/>
      <c r="AZ15" s="17"/>
      <c r="BA15" s="17"/>
      <c r="BB15" s="2"/>
      <c r="BC15" s="17"/>
    </row>
    <row x14ac:dyDescent="0.25" r="16" customHeight="1" ht="18.75">
      <c r="A16" s="41">
        <f>ROW()-4</f>
      </c>
      <c r="B16" s="17"/>
      <c r="C16" s="17"/>
      <c r="D16" s="17"/>
      <c r="E16" s="4"/>
      <c r="F16" s="4"/>
      <c r="G16" s="41">
        <f>IF(OR(E16="",F16=""),"",E16-F16)</f>
      </c>
      <c r="H16" s="41">
        <f>IF(G16="","",IF(G16&gt;0,"Vencendo",IF(G16&lt;0,"Perdendo","Empatado")))</f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2"/>
      <c r="U16" s="17"/>
      <c r="V16" s="17"/>
      <c r="W16" s="17"/>
      <c r="X16" s="17"/>
      <c r="Y16" s="2"/>
      <c r="Z16" s="17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17"/>
      <c r="AL16" s="17"/>
      <c r="AM16" s="17"/>
      <c r="AN16" s="2"/>
      <c r="AO16" s="17"/>
      <c r="AP16" s="17"/>
      <c r="AQ16" s="17"/>
      <c r="AR16" s="17"/>
      <c r="AS16" s="2"/>
      <c r="AT16" s="17"/>
      <c r="AU16" s="17"/>
      <c r="AV16" s="17"/>
      <c r="AW16" s="17"/>
      <c r="AX16" s="2"/>
      <c r="AY16" s="17"/>
      <c r="AZ16" s="17"/>
      <c r="BA16" s="17"/>
      <c r="BB16" s="2"/>
      <c r="BC16" s="17"/>
    </row>
    <row x14ac:dyDescent="0.25" r="17" customHeight="1" ht="18.75">
      <c r="A17" s="41">
        <f>ROW()-4</f>
      </c>
      <c r="B17" s="17"/>
      <c r="C17" s="17"/>
      <c r="D17" s="17"/>
      <c r="E17" s="4"/>
      <c r="F17" s="4"/>
      <c r="G17" s="41">
        <f>IF(OR(E17="",F17=""),"",E17-F17)</f>
      </c>
      <c r="H17" s="41">
        <f>IF(G17="","",IF(G17&gt;0,"Vencendo",IF(G17&lt;0,"Perdendo","Empatado")))</f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2"/>
      <c r="U17" s="17"/>
      <c r="V17" s="17"/>
      <c r="W17" s="17"/>
      <c r="X17" s="17"/>
      <c r="Y17" s="2"/>
      <c r="Z17" s="17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17"/>
      <c r="AL17" s="17"/>
      <c r="AM17" s="17"/>
      <c r="AN17" s="2"/>
      <c r="AO17" s="17"/>
      <c r="AP17" s="17"/>
      <c r="AQ17" s="17"/>
      <c r="AR17" s="17"/>
      <c r="AS17" s="2"/>
      <c r="AT17" s="17"/>
      <c r="AU17" s="17"/>
      <c r="AV17" s="17"/>
      <c r="AW17" s="17"/>
      <c r="AX17" s="2"/>
      <c r="AY17" s="17"/>
      <c r="AZ17" s="17"/>
      <c r="BA17" s="17"/>
      <c r="BB17" s="2"/>
      <c r="BC17" s="17"/>
    </row>
    <row x14ac:dyDescent="0.25" r="18" customHeight="1" ht="18.75">
      <c r="A18" s="41">
        <f>ROW()-4</f>
      </c>
      <c r="B18" s="17"/>
      <c r="C18" s="17"/>
      <c r="D18" s="17"/>
      <c r="E18" s="4"/>
      <c r="F18" s="4"/>
      <c r="G18" s="41">
        <f>IF(OR(E18="",F18=""),"",E18-F18)</f>
      </c>
      <c r="H18" s="41">
        <f>IF(G18="","",IF(G18&gt;0,"Vencendo",IF(G18&lt;0,"Perdendo","Empatado")))</f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2"/>
      <c r="U18" s="17"/>
      <c r="V18" s="17"/>
      <c r="W18" s="17"/>
      <c r="X18" s="17"/>
      <c r="Y18" s="2"/>
      <c r="Z18" s="17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17"/>
      <c r="AL18" s="17"/>
      <c r="AM18" s="17"/>
      <c r="AN18" s="2"/>
      <c r="AO18" s="17"/>
      <c r="AP18" s="17"/>
      <c r="AQ18" s="17"/>
      <c r="AR18" s="17"/>
      <c r="AS18" s="2"/>
      <c r="AT18" s="17"/>
      <c r="AU18" s="17"/>
      <c r="AV18" s="17"/>
      <c r="AW18" s="17"/>
      <c r="AX18" s="2"/>
      <c r="AY18" s="17"/>
      <c r="AZ18" s="17"/>
      <c r="BA18" s="17"/>
      <c r="BB18" s="2"/>
      <c r="BC18" s="17"/>
    </row>
    <row x14ac:dyDescent="0.25" r="19" customHeight="1" ht="18.75">
      <c r="A19" s="41">
        <f>ROW()-4</f>
      </c>
      <c r="B19" s="17"/>
      <c r="C19" s="17"/>
      <c r="D19" s="17"/>
      <c r="E19" s="4"/>
      <c r="F19" s="4"/>
      <c r="G19" s="41">
        <f>IF(OR(E19="",F19=""),"",E19-F19)</f>
      </c>
      <c r="H19" s="41">
        <f>IF(G19="","",IF(G19&gt;0,"Vencendo",IF(G19&lt;0,"Perdendo","Empatado")))</f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2"/>
      <c r="U19" s="17"/>
      <c r="V19" s="17"/>
      <c r="W19" s="17"/>
      <c r="X19" s="17"/>
      <c r="Y19" s="2"/>
      <c r="Z19" s="17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17"/>
      <c r="AL19" s="17"/>
      <c r="AM19" s="17"/>
      <c r="AN19" s="2"/>
      <c r="AO19" s="17"/>
      <c r="AP19" s="17"/>
      <c r="AQ19" s="17"/>
      <c r="AR19" s="17"/>
      <c r="AS19" s="2"/>
      <c r="AT19" s="17"/>
      <c r="AU19" s="17"/>
      <c r="AV19" s="17"/>
      <c r="AW19" s="17"/>
      <c r="AX19" s="2"/>
      <c r="AY19" s="17"/>
      <c r="AZ19" s="17"/>
      <c r="BA19" s="17"/>
      <c r="BB19" s="2"/>
      <c r="BC19" s="17"/>
    </row>
    <row x14ac:dyDescent="0.25" r="20" customHeight="1" ht="18.75">
      <c r="A20" s="41">
        <f>ROW()-4</f>
      </c>
      <c r="B20" s="17"/>
      <c r="C20" s="17"/>
      <c r="D20" s="17"/>
      <c r="E20" s="4"/>
      <c r="F20" s="4"/>
      <c r="G20" s="41">
        <f>IF(OR(E20="",F20=""),"",E20-F20)</f>
      </c>
      <c r="H20" s="41">
        <f>IF(G20="","",IF(G20&gt;0,"Vencendo",IF(G20&lt;0,"Perdendo","Empatado")))</f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"/>
      <c r="U20" s="17"/>
      <c r="V20" s="17"/>
      <c r="W20" s="17"/>
      <c r="X20" s="17"/>
      <c r="Y20" s="2"/>
      <c r="Z20" s="17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17"/>
      <c r="AL20" s="17"/>
      <c r="AM20" s="17"/>
      <c r="AN20" s="2"/>
      <c r="AO20" s="17"/>
      <c r="AP20" s="17"/>
      <c r="AQ20" s="17"/>
      <c r="AR20" s="17"/>
      <c r="AS20" s="2"/>
      <c r="AT20" s="17"/>
      <c r="AU20" s="17"/>
      <c r="AV20" s="17"/>
      <c r="AW20" s="17"/>
      <c r="AX20" s="2"/>
      <c r="AY20" s="17"/>
      <c r="AZ20" s="17"/>
      <c r="BA20" s="17"/>
      <c r="BB20" s="2"/>
      <c r="BC20" s="17"/>
    </row>
    <row x14ac:dyDescent="0.25" r="21" customHeight="1" ht="18.75">
      <c r="A21" s="41">
        <f>ROW()-4</f>
      </c>
      <c r="B21" s="17"/>
      <c r="C21" s="17"/>
      <c r="D21" s="17"/>
      <c r="E21" s="4"/>
      <c r="F21" s="4"/>
      <c r="G21" s="41">
        <f>IF(OR(E21="",F21=""),"",E21-F21)</f>
      </c>
      <c r="H21" s="41">
        <f>IF(G21="","",IF(G21&gt;0,"Vencendo",IF(G21&lt;0,"Perdendo","Empatado")))</f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"/>
      <c r="U21" s="17"/>
      <c r="V21" s="17"/>
      <c r="W21" s="17"/>
      <c r="X21" s="17"/>
      <c r="Y21" s="2"/>
      <c r="Z21" s="17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17"/>
      <c r="AL21" s="17"/>
      <c r="AM21" s="17"/>
      <c r="AN21" s="2"/>
      <c r="AO21" s="17"/>
      <c r="AP21" s="17"/>
      <c r="AQ21" s="17"/>
      <c r="AR21" s="17"/>
      <c r="AS21" s="2"/>
      <c r="AT21" s="17"/>
      <c r="AU21" s="17"/>
      <c r="AV21" s="17"/>
      <c r="AW21" s="17"/>
      <c r="AX21" s="2"/>
      <c r="AY21" s="17"/>
      <c r="AZ21" s="17"/>
      <c r="BA21" s="17"/>
      <c r="BB21" s="2"/>
      <c r="BC21" s="17"/>
    </row>
    <row x14ac:dyDescent="0.25" r="22" customHeight="1" ht="18.75">
      <c r="A22" s="41">
        <f>ROW()-4</f>
      </c>
      <c r="B22" s="17"/>
      <c r="C22" s="17"/>
      <c r="D22" s="17"/>
      <c r="E22" s="4"/>
      <c r="F22" s="4"/>
      <c r="G22" s="41">
        <f>IF(OR(E22="",F22=""),"",E22-F22)</f>
      </c>
      <c r="H22" s="41">
        <f>IF(G22="","",IF(G22&gt;0,"Vencendo",IF(G22&lt;0,"Perdendo","Empatado")))</f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2"/>
      <c r="U22" s="17"/>
      <c r="V22" s="17"/>
      <c r="W22" s="17"/>
      <c r="X22" s="17"/>
      <c r="Y22" s="2"/>
      <c r="Z22" s="17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17"/>
      <c r="AL22" s="17"/>
      <c r="AM22" s="17"/>
      <c r="AN22" s="2"/>
      <c r="AO22" s="17"/>
      <c r="AP22" s="17"/>
      <c r="AQ22" s="17"/>
      <c r="AR22" s="17"/>
      <c r="AS22" s="2"/>
      <c r="AT22" s="17"/>
      <c r="AU22" s="17"/>
      <c r="AV22" s="17"/>
      <c r="AW22" s="17"/>
      <c r="AX22" s="2"/>
      <c r="AY22" s="17"/>
      <c r="AZ22" s="17"/>
      <c r="BA22" s="17"/>
      <c r="BB22" s="2"/>
      <c r="BC22" s="17"/>
    </row>
    <row x14ac:dyDescent="0.25" r="23" customHeight="1" ht="18.75">
      <c r="A23" s="41">
        <f>ROW()-4</f>
      </c>
      <c r="B23" s="17"/>
      <c r="C23" s="17"/>
      <c r="D23" s="17"/>
      <c r="E23" s="4"/>
      <c r="F23" s="4"/>
      <c r="G23" s="41">
        <f>IF(OR(E23="",F23=""),"",E23-F23)</f>
      </c>
      <c r="H23" s="41">
        <f>IF(G23="","",IF(G23&gt;0,"Vencendo",IF(G23&lt;0,"Perdendo","Empatado")))</f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2"/>
      <c r="U23" s="17"/>
      <c r="V23" s="17"/>
      <c r="W23" s="17"/>
      <c r="X23" s="17"/>
      <c r="Y23" s="2"/>
      <c r="Z23" s="17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17"/>
      <c r="AL23" s="17"/>
      <c r="AM23" s="17"/>
      <c r="AN23" s="2"/>
      <c r="AO23" s="17"/>
      <c r="AP23" s="17"/>
      <c r="AQ23" s="17"/>
      <c r="AR23" s="17"/>
      <c r="AS23" s="2"/>
      <c r="AT23" s="17"/>
      <c r="AU23" s="17"/>
      <c r="AV23" s="17"/>
      <c r="AW23" s="17"/>
      <c r="AX23" s="2"/>
      <c r="AY23" s="17"/>
      <c r="AZ23" s="17"/>
      <c r="BA23" s="17"/>
      <c r="BB23" s="2"/>
      <c r="BC23" s="17"/>
    </row>
    <row x14ac:dyDescent="0.25" r="24" customHeight="1" ht="18.75">
      <c r="A24" s="41">
        <f>ROW()-4</f>
      </c>
      <c r="B24" s="17"/>
      <c r="C24" s="17"/>
      <c r="D24" s="17"/>
      <c r="E24" s="4"/>
      <c r="F24" s="4"/>
      <c r="G24" s="41">
        <f>IF(OR(E24="",F24=""),"",E24-F24)</f>
      </c>
      <c r="H24" s="41">
        <f>IF(G24="","",IF(G24&gt;0,"Vencendo",IF(G24&lt;0,"Perdendo","Empatado")))</f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"/>
      <c r="U24" s="17"/>
      <c r="V24" s="17"/>
      <c r="W24" s="17"/>
      <c r="X24" s="17"/>
      <c r="Y24" s="2"/>
      <c r="Z24" s="17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17"/>
      <c r="AL24" s="17"/>
      <c r="AM24" s="17"/>
      <c r="AN24" s="2"/>
      <c r="AO24" s="17"/>
      <c r="AP24" s="17"/>
      <c r="AQ24" s="17"/>
      <c r="AR24" s="17"/>
      <c r="AS24" s="2"/>
      <c r="AT24" s="17"/>
      <c r="AU24" s="17"/>
      <c r="AV24" s="17"/>
      <c r="AW24" s="17"/>
      <c r="AX24" s="2"/>
      <c r="AY24" s="17"/>
      <c r="AZ24" s="17"/>
      <c r="BA24" s="17"/>
      <c r="BB24" s="2"/>
      <c r="BC24" s="17"/>
    </row>
    <row x14ac:dyDescent="0.25" r="25" customHeight="1" ht="18.75">
      <c r="A25" s="41">
        <f>ROW()-4</f>
      </c>
      <c r="B25" s="17"/>
      <c r="C25" s="17"/>
      <c r="D25" s="17"/>
      <c r="E25" s="4"/>
      <c r="F25" s="4"/>
      <c r="G25" s="41">
        <f>IF(OR(E25="",F25=""),"",E25-F25)</f>
      </c>
      <c r="H25" s="41">
        <f>IF(G25="","",IF(G25&gt;0,"Vencendo",IF(G25&lt;0,"Perdendo","Empatado")))</f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2"/>
      <c r="U25" s="17"/>
      <c r="V25" s="17"/>
      <c r="W25" s="17"/>
      <c r="X25" s="17"/>
      <c r="Y25" s="2"/>
      <c r="Z25" s="17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17"/>
      <c r="AL25" s="17"/>
      <c r="AM25" s="17"/>
      <c r="AN25" s="2"/>
      <c r="AO25" s="17"/>
      <c r="AP25" s="17"/>
      <c r="AQ25" s="17"/>
      <c r="AR25" s="17"/>
      <c r="AS25" s="2"/>
      <c r="AT25" s="17"/>
      <c r="AU25" s="17"/>
      <c r="AV25" s="17"/>
      <c r="AW25" s="17"/>
      <c r="AX25" s="2"/>
      <c r="AY25" s="17"/>
      <c r="AZ25" s="17"/>
      <c r="BA25" s="17"/>
      <c r="BB25" s="2"/>
      <c r="BC25" s="17"/>
    </row>
    <row x14ac:dyDescent="0.25" r="26" customHeight="1" ht="18.75">
      <c r="A26" s="41">
        <f>ROW()-4</f>
      </c>
      <c r="B26" s="17"/>
      <c r="C26" s="17"/>
      <c r="D26" s="17"/>
      <c r="E26" s="4"/>
      <c r="F26" s="4"/>
      <c r="G26" s="41">
        <f>IF(OR(E26="",F26=""),"",E26-F26)</f>
      </c>
      <c r="H26" s="41">
        <f>IF(G26="","",IF(G26&gt;0,"Vencendo",IF(G26&lt;0,"Perdendo","Empatado")))</f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"/>
      <c r="U26" s="17"/>
      <c r="V26" s="17"/>
      <c r="W26" s="17"/>
      <c r="X26" s="17"/>
      <c r="Y26" s="2"/>
      <c r="Z26" s="17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17"/>
      <c r="AL26" s="17"/>
      <c r="AM26" s="17"/>
      <c r="AN26" s="2"/>
      <c r="AO26" s="17"/>
      <c r="AP26" s="17"/>
      <c r="AQ26" s="17"/>
      <c r="AR26" s="17"/>
      <c r="AS26" s="2"/>
      <c r="AT26" s="17"/>
      <c r="AU26" s="17"/>
      <c r="AV26" s="17"/>
      <c r="AW26" s="17"/>
      <c r="AX26" s="2"/>
      <c r="AY26" s="17"/>
      <c r="AZ26" s="17"/>
      <c r="BA26" s="17"/>
      <c r="BB26" s="2"/>
      <c r="BC26" s="17"/>
    </row>
    <row x14ac:dyDescent="0.25" r="27" customHeight="1" ht="18.75">
      <c r="A27" s="41">
        <f>ROW()-4</f>
      </c>
      <c r="B27" s="17"/>
      <c r="C27" s="17"/>
      <c r="D27" s="17"/>
      <c r="E27" s="4"/>
      <c r="F27" s="4"/>
      <c r="G27" s="41">
        <f>IF(OR(E27="",F27=""),"",E27-F27)</f>
      </c>
      <c r="H27" s="41">
        <f>IF(G27="","",IF(G27&gt;0,"Vencendo",IF(G27&lt;0,"Perdendo","Empatado")))</f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2"/>
      <c r="U27" s="17"/>
      <c r="V27" s="17"/>
      <c r="W27" s="17"/>
      <c r="X27" s="17"/>
      <c r="Y27" s="2"/>
      <c r="Z27" s="17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17"/>
      <c r="AL27" s="17"/>
      <c r="AM27" s="17"/>
      <c r="AN27" s="2"/>
      <c r="AO27" s="17"/>
      <c r="AP27" s="17"/>
      <c r="AQ27" s="17"/>
      <c r="AR27" s="17"/>
      <c r="AS27" s="2"/>
      <c r="AT27" s="17"/>
      <c r="AU27" s="17"/>
      <c r="AV27" s="17"/>
      <c r="AW27" s="17"/>
      <c r="AX27" s="2"/>
      <c r="AY27" s="17"/>
      <c r="AZ27" s="17"/>
      <c r="BA27" s="17"/>
      <c r="BB27" s="2"/>
      <c r="BC27" s="17"/>
    </row>
    <row x14ac:dyDescent="0.25" r="28" customHeight="1" ht="18.75">
      <c r="A28" s="41">
        <f>ROW()-4</f>
      </c>
      <c r="B28" s="17"/>
      <c r="C28" s="17"/>
      <c r="D28" s="17"/>
      <c r="E28" s="4"/>
      <c r="F28" s="4"/>
      <c r="G28" s="41">
        <f>IF(OR(E28="",F28=""),"",E28-F28)</f>
      </c>
      <c r="H28" s="41">
        <f>IF(G28="","",IF(G28&gt;0,"Vencendo",IF(G28&lt;0,"Perdendo","Empatado")))</f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2"/>
      <c r="U28" s="17"/>
      <c r="V28" s="17"/>
      <c r="W28" s="17"/>
      <c r="X28" s="17"/>
      <c r="Y28" s="2"/>
      <c r="Z28" s="17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17"/>
      <c r="AL28" s="17"/>
      <c r="AM28" s="17"/>
      <c r="AN28" s="2"/>
      <c r="AO28" s="17"/>
      <c r="AP28" s="17"/>
      <c r="AQ28" s="17"/>
      <c r="AR28" s="17"/>
      <c r="AS28" s="2"/>
      <c r="AT28" s="17"/>
      <c r="AU28" s="17"/>
      <c r="AV28" s="17"/>
      <c r="AW28" s="17"/>
      <c r="AX28" s="2"/>
      <c r="AY28" s="17"/>
      <c r="AZ28" s="17"/>
      <c r="BA28" s="17"/>
      <c r="BB28" s="2"/>
      <c r="BC28" s="17"/>
    </row>
    <row x14ac:dyDescent="0.25" r="29" customHeight="1" ht="18.75">
      <c r="A29" s="41">
        <f>ROW()-4</f>
      </c>
      <c r="B29" s="17"/>
      <c r="C29" s="17"/>
      <c r="D29" s="17"/>
      <c r="E29" s="4"/>
      <c r="F29" s="4"/>
      <c r="G29" s="41">
        <f>IF(OR(E29="",F29=""),"",E29-F29)</f>
      </c>
      <c r="H29" s="41">
        <f>IF(G29="","",IF(G29&gt;0,"Vencendo",IF(G29&lt;0,"Perdendo","Empatado")))</f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2"/>
      <c r="U29" s="17"/>
      <c r="V29" s="17"/>
      <c r="W29" s="17"/>
      <c r="X29" s="17"/>
      <c r="Y29" s="2"/>
      <c r="Z29" s="17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17"/>
      <c r="AL29" s="17"/>
      <c r="AM29" s="17"/>
      <c r="AN29" s="2"/>
      <c r="AO29" s="17"/>
      <c r="AP29" s="17"/>
      <c r="AQ29" s="17"/>
      <c r="AR29" s="17"/>
      <c r="AS29" s="2"/>
      <c r="AT29" s="17"/>
      <c r="AU29" s="17"/>
      <c r="AV29" s="17"/>
      <c r="AW29" s="17"/>
      <c r="AX29" s="2"/>
      <c r="AY29" s="17"/>
      <c r="AZ29" s="17"/>
      <c r="BA29" s="17"/>
      <c r="BB29" s="2"/>
      <c r="BC29" s="17"/>
    </row>
    <row x14ac:dyDescent="0.25" r="30" customHeight="1" ht="18.75">
      <c r="A30" s="41">
        <f>ROW()-4</f>
      </c>
      <c r="B30" s="17"/>
      <c r="C30" s="17"/>
      <c r="D30" s="17"/>
      <c r="E30" s="4"/>
      <c r="F30" s="4"/>
      <c r="G30" s="41">
        <f>IF(OR(E30="",F30=""),"",E30-F30)</f>
      </c>
      <c r="H30" s="41">
        <f>IF(G30="","",IF(G30&gt;0,"Vencendo",IF(G30&lt;0,"Perdendo","Empatado")))</f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2"/>
      <c r="U30" s="17"/>
      <c r="V30" s="17"/>
      <c r="W30" s="17"/>
      <c r="X30" s="17"/>
      <c r="Y30" s="2"/>
      <c r="Z30" s="17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17"/>
      <c r="AL30" s="17"/>
      <c r="AM30" s="17"/>
      <c r="AN30" s="2"/>
      <c r="AO30" s="17"/>
      <c r="AP30" s="17"/>
      <c r="AQ30" s="17"/>
      <c r="AR30" s="17"/>
      <c r="AS30" s="2"/>
      <c r="AT30" s="17"/>
      <c r="AU30" s="17"/>
      <c r="AV30" s="17"/>
      <c r="AW30" s="17"/>
      <c r="AX30" s="2"/>
      <c r="AY30" s="17"/>
      <c r="AZ30" s="17"/>
      <c r="BA30" s="17"/>
      <c r="BB30" s="2"/>
      <c r="BC30" s="17"/>
    </row>
    <row x14ac:dyDescent="0.25" r="31" customHeight="1" ht="18.75">
      <c r="A31" s="41">
        <f>ROW()-4</f>
      </c>
      <c r="B31" s="17"/>
      <c r="C31" s="17"/>
      <c r="D31" s="17"/>
      <c r="E31" s="4"/>
      <c r="F31" s="4"/>
      <c r="G31" s="41">
        <f>IF(OR(E31="",F31=""),"",E31-F31)</f>
      </c>
      <c r="H31" s="41">
        <f>IF(G31="","",IF(G31&gt;0,"Vencendo",IF(G31&lt;0,"Perdendo","Empatado")))</f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"/>
      <c r="U31" s="17"/>
      <c r="V31" s="17"/>
      <c r="W31" s="17"/>
      <c r="X31" s="17"/>
      <c r="Y31" s="2"/>
      <c r="Z31" s="17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17"/>
      <c r="AL31" s="17"/>
      <c r="AM31" s="17"/>
      <c r="AN31" s="2"/>
      <c r="AO31" s="17"/>
      <c r="AP31" s="17"/>
      <c r="AQ31" s="17"/>
      <c r="AR31" s="17"/>
      <c r="AS31" s="2"/>
      <c r="AT31" s="17"/>
      <c r="AU31" s="17"/>
      <c r="AV31" s="17"/>
      <c r="AW31" s="17"/>
      <c r="AX31" s="2"/>
      <c r="AY31" s="17"/>
      <c r="AZ31" s="17"/>
      <c r="BA31" s="17"/>
      <c r="BB31" s="2"/>
      <c r="BC31" s="17"/>
    </row>
    <row x14ac:dyDescent="0.25" r="32" customHeight="1" ht="18.75">
      <c r="A32" s="41">
        <f>ROW()-4</f>
      </c>
      <c r="B32" s="17"/>
      <c r="C32" s="17"/>
      <c r="D32" s="17"/>
      <c r="E32" s="4"/>
      <c r="F32" s="4"/>
      <c r="G32" s="41">
        <f>IF(OR(E32="",F32=""),"",E32-F32)</f>
      </c>
      <c r="H32" s="41">
        <f>IF(G32="","",IF(G32&gt;0,"Vencendo",IF(G32&lt;0,"Perdendo","Empatado")))</f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"/>
      <c r="U32" s="17"/>
      <c r="V32" s="17"/>
      <c r="W32" s="17"/>
      <c r="X32" s="17"/>
      <c r="Y32" s="2"/>
      <c r="Z32" s="17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17"/>
      <c r="AL32" s="17"/>
      <c r="AM32" s="17"/>
      <c r="AN32" s="2"/>
      <c r="AO32" s="17"/>
      <c r="AP32" s="17"/>
      <c r="AQ32" s="17"/>
      <c r="AR32" s="17"/>
      <c r="AS32" s="2"/>
      <c r="AT32" s="17"/>
      <c r="AU32" s="17"/>
      <c r="AV32" s="17"/>
      <c r="AW32" s="17"/>
      <c r="AX32" s="2"/>
      <c r="AY32" s="17"/>
      <c r="AZ32" s="17"/>
      <c r="BA32" s="17"/>
      <c r="BB32" s="2"/>
      <c r="BC32" s="17"/>
    </row>
    <row x14ac:dyDescent="0.25" r="33" customHeight="1" ht="18.75">
      <c r="A33" s="41">
        <f>ROW()-4</f>
      </c>
      <c r="B33" s="17"/>
      <c r="C33" s="17"/>
      <c r="D33" s="17"/>
      <c r="E33" s="4"/>
      <c r="F33" s="4"/>
      <c r="G33" s="41">
        <f>IF(OR(E33="",F33=""),"",E33-F33)</f>
      </c>
      <c r="H33" s="41">
        <f>IF(G33="","",IF(G33&gt;0,"Vencendo",IF(G33&lt;0,"Perdendo","Empatado")))</f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"/>
      <c r="U33" s="17"/>
      <c r="V33" s="17"/>
      <c r="W33" s="17"/>
      <c r="X33" s="17"/>
      <c r="Y33" s="2"/>
      <c r="Z33" s="17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17"/>
      <c r="AL33" s="17"/>
      <c r="AM33" s="17"/>
      <c r="AN33" s="2"/>
      <c r="AO33" s="17"/>
      <c r="AP33" s="17"/>
      <c r="AQ33" s="17"/>
      <c r="AR33" s="17"/>
      <c r="AS33" s="2"/>
      <c r="AT33" s="17"/>
      <c r="AU33" s="17"/>
      <c r="AV33" s="17"/>
      <c r="AW33" s="17"/>
      <c r="AX33" s="2"/>
      <c r="AY33" s="17"/>
      <c r="AZ33" s="17"/>
      <c r="BA33" s="17"/>
      <c r="BB33" s="2"/>
      <c r="BC33" s="17"/>
    </row>
    <row x14ac:dyDescent="0.25" r="34" customHeight="1" ht="18.75">
      <c r="A34" s="41">
        <f>ROW()-4</f>
      </c>
      <c r="B34" s="17"/>
      <c r="C34" s="17"/>
      <c r="D34" s="17"/>
      <c r="E34" s="4"/>
      <c r="F34" s="4"/>
      <c r="G34" s="41">
        <f>IF(OR(E34="",F34=""),"",E34-F34)</f>
      </c>
      <c r="H34" s="41">
        <f>IF(G34="","",IF(G34&gt;0,"Vencendo",IF(G34&lt;0,"Perdendo","Empatado")))</f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"/>
      <c r="U34" s="17"/>
      <c r="V34" s="17"/>
      <c r="W34" s="17"/>
      <c r="X34" s="17"/>
      <c r="Y34" s="2"/>
      <c r="Z34" s="17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17"/>
      <c r="AL34" s="17"/>
      <c r="AM34" s="17"/>
      <c r="AN34" s="2"/>
      <c r="AO34" s="17"/>
      <c r="AP34" s="17"/>
      <c r="AQ34" s="17"/>
      <c r="AR34" s="17"/>
      <c r="AS34" s="2"/>
      <c r="AT34" s="17"/>
      <c r="AU34" s="17"/>
      <c r="AV34" s="17"/>
      <c r="AW34" s="17"/>
      <c r="AX34" s="2"/>
      <c r="AY34" s="17"/>
      <c r="AZ34" s="17"/>
      <c r="BA34" s="17"/>
      <c r="BB34" s="2"/>
      <c r="BC34" s="17"/>
    </row>
    <row x14ac:dyDescent="0.25" r="35" customHeight="1" ht="18.75">
      <c r="A35" s="41">
        <f>ROW()-4</f>
      </c>
      <c r="B35" s="17"/>
      <c r="C35" s="17"/>
      <c r="D35" s="17"/>
      <c r="E35" s="4"/>
      <c r="F35" s="4"/>
      <c r="G35" s="41">
        <f>IF(OR(E35="",F35=""),"",E35-F35)</f>
      </c>
      <c r="H35" s="41">
        <f>IF(G35="","",IF(G35&gt;0,"Vencendo",IF(G35&lt;0,"Perdendo","Empatado")))</f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2"/>
      <c r="U35" s="17"/>
      <c r="V35" s="17"/>
      <c r="W35" s="17"/>
      <c r="X35" s="17"/>
      <c r="Y35" s="2"/>
      <c r="Z35" s="17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17"/>
      <c r="AL35" s="17"/>
      <c r="AM35" s="17"/>
      <c r="AN35" s="2"/>
      <c r="AO35" s="17"/>
      <c r="AP35" s="17"/>
      <c r="AQ35" s="17"/>
      <c r="AR35" s="17"/>
      <c r="AS35" s="2"/>
      <c r="AT35" s="17"/>
      <c r="AU35" s="17"/>
      <c r="AV35" s="17"/>
      <c r="AW35" s="17"/>
      <c r="AX35" s="2"/>
      <c r="AY35" s="17"/>
      <c r="AZ35" s="17"/>
      <c r="BA35" s="17"/>
      <c r="BB35" s="2"/>
      <c r="BC35" s="17"/>
    </row>
    <row x14ac:dyDescent="0.25" r="36" customHeight="1" ht="18.75">
      <c r="A36" s="41">
        <f>ROW()-4</f>
      </c>
      <c r="B36" s="17"/>
      <c r="C36" s="17"/>
      <c r="D36" s="17"/>
      <c r="E36" s="4"/>
      <c r="F36" s="4"/>
      <c r="G36" s="41">
        <f>IF(OR(E36="",F36=""),"",E36-F36)</f>
      </c>
      <c r="H36" s="41">
        <f>IF(G36="","",IF(G36&gt;0,"Vencendo",IF(G36&lt;0,"Perdendo","Empatado")))</f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2"/>
      <c r="U36" s="17"/>
      <c r="V36" s="17"/>
      <c r="W36" s="17"/>
      <c r="X36" s="17"/>
      <c r="Y36" s="2"/>
      <c r="Z36" s="17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17"/>
      <c r="AL36" s="17"/>
      <c r="AM36" s="17"/>
      <c r="AN36" s="2"/>
      <c r="AO36" s="17"/>
      <c r="AP36" s="17"/>
      <c r="AQ36" s="17"/>
      <c r="AR36" s="17"/>
      <c r="AS36" s="2"/>
      <c r="AT36" s="17"/>
      <c r="AU36" s="17"/>
      <c r="AV36" s="17"/>
      <c r="AW36" s="17"/>
      <c r="AX36" s="2"/>
      <c r="AY36" s="17"/>
      <c r="AZ36" s="17"/>
      <c r="BA36" s="17"/>
      <c r="BB36" s="2"/>
      <c r="BC36" s="17"/>
    </row>
    <row x14ac:dyDescent="0.25" r="37" customHeight="1" ht="18.75">
      <c r="A37" s="41">
        <f>ROW()-4</f>
      </c>
      <c r="B37" s="17"/>
      <c r="C37" s="17"/>
      <c r="D37" s="17"/>
      <c r="E37" s="4"/>
      <c r="F37" s="4"/>
      <c r="G37" s="41">
        <f>IF(OR(E37="",F37=""),"",E37-F37)</f>
      </c>
      <c r="H37" s="41">
        <f>IF(G37="","",IF(G37&gt;0,"Vencendo",IF(G37&lt;0,"Perdendo","Empatado")))</f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2"/>
      <c r="U37" s="17"/>
      <c r="V37" s="17"/>
      <c r="W37" s="17"/>
      <c r="X37" s="17"/>
      <c r="Y37" s="2"/>
      <c r="Z37" s="17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17"/>
      <c r="AL37" s="17"/>
      <c r="AM37" s="17"/>
      <c r="AN37" s="2"/>
      <c r="AO37" s="17"/>
      <c r="AP37" s="17"/>
      <c r="AQ37" s="17"/>
      <c r="AR37" s="17"/>
      <c r="AS37" s="2"/>
      <c r="AT37" s="17"/>
      <c r="AU37" s="17"/>
      <c r="AV37" s="17"/>
      <c r="AW37" s="17"/>
      <c r="AX37" s="2"/>
      <c r="AY37" s="17"/>
      <c r="AZ37" s="17"/>
      <c r="BA37" s="17"/>
      <c r="BB37" s="2"/>
      <c r="BC37" s="17"/>
    </row>
    <row x14ac:dyDescent="0.25" r="38" customHeight="1" ht="18.75">
      <c r="A38" s="41">
        <f>ROW()-4</f>
      </c>
      <c r="B38" s="17"/>
      <c r="C38" s="17"/>
      <c r="D38" s="17"/>
      <c r="E38" s="4"/>
      <c r="F38" s="4"/>
      <c r="G38" s="41">
        <f>IF(OR(E38="",F38=""),"",E38-F38)</f>
      </c>
      <c r="H38" s="41">
        <f>IF(G38="","",IF(G38&gt;0,"Vencendo",IF(G38&lt;0,"Perdendo","Empatado")))</f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2"/>
      <c r="U38" s="17"/>
      <c r="V38" s="17"/>
      <c r="W38" s="17"/>
      <c r="X38" s="17"/>
      <c r="Y38" s="2"/>
      <c r="Z38" s="17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17"/>
      <c r="AL38" s="17"/>
      <c r="AM38" s="17"/>
      <c r="AN38" s="2"/>
      <c r="AO38" s="17"/>
      <c r="AP38" s="17"/>
      <c r="AQ38" s="17"/>
      <c r="AR38" s="17"/>
      <c r="AS38" s="2"/>
      <c r="AT38" s="17"/>
      <c r="AU38" s="17"/>
      <c r="AV38" s="17"/>
      <c r="AW38" s="17"/>
      <c r="AX38" s="2"/>
      <c r="AY38" s="17"/>
      <c r="AZ38" s="17"/>
      <c r="BA38" s="17"/>
      <c r="BB38" s="2"/>
      <c r="BC38" s="17"/>
    </row>
    <row x14ac:dyDescent="0.25" r="39" customHeight="1" ht="18.75">
      <c r="A39" s="41">
        <f>ROW()-4</f>
      </c>
      <c r="B39" s="17"/>
      <c r="C39" s="17"/>
      <c r="D39" s="17"/>
      <c r="E39" s="4"/>
      <c r="F39" s="4"/>
      <c r="G39" s="41">
        <f>IF(OR(E39="",F39=""),"",E39-F39)</f>
      </c>
      <c r="H39" s="41">
        <f>IF(G39="","",IF(G39&gt;0,"Vencendo",IF(G39&lt;0,"Perdendo","Empatado")))</f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2"/>
      <c r="U39" s="17"/>
      <c r="V39" s="17"/>
      <c r="W39" s="17"/>
      <c r="X39" s="17"/>
      <c r="Y39" s="2"/>
      <c r="Z39" s="17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17"/>
      <c r="AL39" s="17"/>
      <c r="AM39" s="17"/>
      <c r="AN39" s="2"/>
      <c r="AO39" s="17"/>
      <c r="AP39" s="17"/>
      <c r="AQ39" s="17"/>
      <c r="AR39" s="17"/>
      <c r="AS39" s="2"/>
      <c r="AT39" s="17"/>
      <c r="AU39" s="17"/>
      <c r="AV39" s="17"/>
      <c r="AW39" s="17"/>
      <c r="AX39" s="2"/>
      <c r="AY39" s="17"/>
      <c r="AZ39" s="17"/>
      <c r="BA39" s="17"/>
      <c r="BB39" s="2"/>
      <c r="BC39" s="17"/>
    </row>
    <row x14ac:dyDescent="0.25" r="40" customHeight="1" ht="18.75">
      <c r="A40" s="41">
        <f>ROW()-4</f>
      </c>
      <c r="B40" s="17"/>
      <c r="C40" s="17"/>
      <c r="D40" s="17"/>
      <c r="E40" s="4"/>
      <c r="F40" s="4"/>
      <c r="G40" s="41">
        <f>IF(OR(E40="",F40=""),"",E40-F40)</f>
      </c>
      <c r="H40" s="41">
        <f>IF(G40="","",IF(G40&gt;0,"Vencendo",IF(G40&lt;0,"Perdendo","Empatado")))</f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"/>
      <c r="U40" s="17"/>
      <c r="V40" s="17"/>
      <c r="W40" s="17"/>
      <c r="X40" s="17"/>
      <c r="Y40" s="2"/>
      <c r="Z40" s="17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17"/>
      <c r="AL40" s="17"/>
      <c r="AM40" s="17"/>
      <c r="AN40" s="2"/>
      <c r="AO40" s="17"/>
      <c r="AP40" s="17"/>
      <c r="AQ40" s="17"/>
      <c r="AR40" s="17"/>
      <c r="AS40" s="2"/>
      <c r="AT40" s="17"/>
      <c r="AU40" s="17"/>
      <c r="AV40" s="17"/>
      <c r="AW40" s="17"/>
      <c r="AX40" s="2"/>
      <c r="AY40" s="17"/>
      <c r="AZ40" s="17"/>
      <c r="BA40" s="17"/>
      <c r="BB40" s="2"/>
      <c r="BC40" s="17"/>
    </row>
    <row x14ac:dyDescent="0.25" r="41" customHeight="1" ht="18.75">
      <c r="A41" s="41">
        <f>ROW()-4</f>
      </c>
      <c r="B41" s="17"/>
      <c r="C41" s="17"/>
      <c r="D41" s="17"/>
      <c r="E41" s="4"/>
      <c r="F41" s="4"/>
      <c r="G41" s="41">
        <f>IF(OR(E41="",F41=""),"",E41-F41)</f>
      </c>
      <c r="H41" s="41">
        <f>IF(G41="","",IF(G41&gt;0,"Vencendo",IF(G41&lt;0,"Perdendo","Empatado")))</f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"/>
      <c r="U41" s="17"/>
      <c r="V41" s="17"/>
      <c r="W41" s="17"/>
      <c r="X41" s="17"/>
      <c r="Y41" s="2"/>
      <c r="Z41" s="17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17"/>
      <c r="AL41" s="17"/>
      <c r="AM41" s="17"/>
      <c r="AN41" s="2"/>
      <c r="AO41" s="17"/>
      <c r="AP41" s="17"/>
      <c r="AQ41" s="17"/>
      <c r="AR41" s="17"/>
      <c r="AS41" s="2"/>
      <c r="AT41" s="17"/>
      <c r="AU41" s="17"/>
      <c r="AV41" s="17"/>
      <c r="AW41" s="17"/>
      <c r="AX41" s="2"/>
      <c r="AY41" s="17"/>
      <c r="AZ41" s="17"/>
      <c r="BA41" s="17"/>
      <c r="BB41" s="2"/>
      <c r="BC41" s="17"/>
    </row>
    <row x14ac:dyDescent="0.25" r="42" customHeight="1" ht="18.75">
      <c r="A42" s="41">
        <f>ROW()-4</f>
      </c>
      <c r="B42" s="17"/>
      <c r="C42" s="17"/>
      <c r="D42" s="17"/>
      <c r="E42" s="4"/>
      <c r="F42" s="4"/>
      <c r="G42" s="41">
        <f>IF(OR(E42="",F42=""),"",E42-F42)</f>
      </c>
      <c r="H42" s="41">
        <f>IF(G42="","",IF(G42&gt;0,"Vencendo",IF(G42&lt;0,"Perdendo","Empatado")))</f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2"/>
      <c r="U42" s="17"/>
      <c r="V42" s="17"/>
      <c r="W42" s="17"/>
      <c r="X42" s="17"/>
      <c r="Y42" s="2"/>
      <c r="Z42" s="17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17"/>
      <c r="AL42" s="17"/>
      <c r="AM42" s="17"/>
      <c r="AN42" s="2"/>
      <c r="AO42" s="17"/>
      <c r="AP42" s="17"/>
      <c r="AQ42" s="17"/>
      <c r="AR42" s="17"/>
      <c r="AS42" s="2"/>
      <c r="AT42" s="17"/>
      <c r="AU42" s="17"/>
      <c r="AV42" s="17"/>
      <c r="AW42" s="17"/>
      <c r="AX42" s="2"/>
      <c r="AY42" s="17"/>
      <c r="AZ42" s="17"/>
      <c r="BA42" s="17"/>
      <c r="BB42" s="2"/>
      <c r="BC42" s="17"/>
    </row>
    <row x14ac:dyDescent="0.25" r="43" customHeight="1" ht="18.75">
      <c r="A43" s="41">
        <f>ROW()-4</f>
      </c>
      <c r="B43" s="17"/>
      <c r="C43" s="17"/>
      <c r="D43" s="17"/>
      <c r="E43" s="4"/>
      <c r="F43" s="4"/>
      <c r="G43" s="41">
        <f>IF(OR(E43="",F43=""),"",E43-F43)</f>
      </c>
      <c r="H43" s="41">
        <f>IF(G43="","",IF(G43&gt;0,"Vencendo",IF(G43&lt;0,"Perdendo","Empatado")))</f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"/>
      <c r="U43" s="17"/>
      <c r="V43" s="17"/>
      <c r="W43" s="17"/>
      <c r="X43" s="17"/>
      <c r="Y43" s="2"/>
      <c r="Z43" s="17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17"/>
      <c r="AL43" s="17"/>
      <c r="AM43" s="17"/>
      <c r="AN43" s="2"/>
      <c r="AO43" s="17"/>
      <c r="AP43" s="17"/>
      <c r="AQ43" s="17"/>
      <c r="AR43" s="17"/>
      <c r="AS43" s="2"/>
      <c r="AT43" s="17"/>
      <c r="AU43" s="17"/>
      <c r="AV43" s="17"/>
      <c r="AW43" s="17"/>
      <c r="AX43" s="2"/>
      <c r="AY43" s="17"/>
      <c r="AZ43" s="17"/>
      <c r="BA43" s="17"/>
      <c r="BB43" s="2"/>
      <c r="BC43" s="17"/>
    </row>
    <row x14ac:dyDescent="0.25" r="44" customHeight="1" ht="18.75">
      <c r="A44" s="41">
        <f>ROW()-4</f>
      </c>
      <c r="B44" s="17"/>
      <c r="C44" s="17"/>
      <c r="D44" s="17"/>
      <c r="E44" s="4"/>
      <c r="F44" s="4"/>
      <c r="G44" s="41">
        <f>IF(OR(E44="",F44=""),"",E44-F44)</f>
      </c>
      <c r="H44" s="41">
        <f>IF(G44="","",IF(G44&gt;0,"Vencendo",IF(G44&lt;0,"Perdendo","Empatado")))</f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2"/>
      <c r="U44" s="17"/>
      <c r="V44" s="17"/>
      <c r="W44" s="17"/>
      <c r="X44" s="17"/>
      <c r="Y44" s="2"/>
      <c r="Z44" s="17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17"/>
      <c r="AL44" s="17"/>
      <c r="AM44" s="17"/>
      <c r="AN44" s="2"/>
      <c r="AO44" s="17"/>
      <c r="AP44" s="17"/>
      <c r="AQ44" s="17"/>
      <c r="AR44" s="17"/>
      <c r="AS44" s="2"/>
      <c r="AT44" s="17"/>
      <c r="AU44" s="17"/>
      <c r="AV44" s="17"/>
      <c r="AW44" s="17"/>
      <c r="AX44" s="2"/>
      <c r="AY44" s="17"/>
      <c r="AZ44" s="17"/>
      <c r="BA44" s="17"/>
      <c r="BB44" s="2"/>
      <c r="BC44" s="17"/>
    </row>
    <row x14ac:dyDescent="0.25" r="45" customHeight="1" ht="18.75">
      <c r="A45" s="41">
        <f>ROW()-4</f>
      </c>
      <c r="B45" s="17"/>
      <c r="C45" s="17"/>
      <c r="D45" s="17"/>
      <c r="E45" s="4"/>
      <c r="F45" s="4"/>
      <c r="G45" s="41">
        <f>IF(OR(E45="",F45=""),"",E45-F45)</f>
      </c>
      <c r="H45" s="41">
        <f>IF(G45="","",IF(G45&gt;0,"Vencendo",IF(G45&lt;0,"Perdendo","Empatado")))</f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2"/>
      <c r="U45" s="17"/>
      <c r="V45" s="17"/>
      <c r="W45" s="17"/>
      <c r="X45" s="17"/>
      <c r="Y45" s="2"/>
      <c r="Z45" s="17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17"/>
      <c r="AL45" s="17"/>
      <c r="AM45" s="17"/>
      <c r="AN45" s="2"/>
      <c r="AO45" s="17"/>
      <c r="AP45" s="17"/>
      <c r="AQ45" s="17"/>
      <c r="AR45" s="17"/>
      <c r="AS45" s="2"/>
      <c r="AT45" s="17"/>
      <c r="AU45" s="17"/>
      <c r="AV45" s="17"/>
      <c r="AW45" s="17"/>
      <c r="AX45" s="2"/>
      <c r="AY45" s="17"/>
      <c r="AZ45" s="17"/>
      <c r="BA45" s="17"/>
      <c r="BB45" s="2"/>
      <c r="BC45" s="17"/>
    </row>
    <row x14ac:dyDescent="0.25" r="46" customHeight="1" ht="18.75">
      <c r="A46" s="41">
        <f>ROW()-4</f>
      </c>
      <c r="B46" s="17"/>
      <c r="C46" s="17"/>
      <c r="D46" s="17"/>
      <c r="E46" s="4"/>
      <c r="F46" s="4"/>
      <c r="G46" s="41">
        <f>IF(OR(E46="",F46=""),"",E46-F46)</f>
      </c>
      <c r="H46" s="41">
        <f>IF(G46="","",IF(G46&gt;0,"Vencendo",IF(G46&lt;0,"Perdendo","Empatado")))</f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"/>
      <c r="U46" s="17"/>
      <c r="V46" s="17"/>
      <c r="W46" s="17"/>
      <c r="X46" s="17"/>
      <c r="Y46" s="2"/>
      <c r="Z46" s="17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17"/>
      <c r="AL46" s="17"/>
      <c r="AM46" s="17"/>
      <c r="AN46" s="2"/>
      <c r="AO46" s="17"/>
      <c r="AP46" s="17"/>
      <c r="AQ46" s="17"/>
      <c r="AR46" s="17"/>
      <c r="AS46" s="2"/>
      <c r="AT46" s="17"/>
      <c r="AU46" s="17"/>
      <c r="AV46" s="17"/>
      <c r="AW46" s="17"/>
      <c r="AX46" s="2"/>
      <c r="AY46" s="17"/>
      <c r="AZ46" s="17"/>
      <c r="BA46" s="17"/>
      <c r="BB46" s="2"/>
      <c r="BC46" s="17"/>
    </row>
    <row x14ac:dyDescent="0.25" r="47" customHeight="1" ht="18.75">
      <c r="A47" s="41">
        <f>ROW()-4</f>
      </c>
      <c r="B47" s="17"/>
      <c r="C47" s="17"/>
      <c r="D47" s="17"/>
      <c r="E47" s="4"/>
      <c r="F47" s="4"/>
      <c r="G47" s="41">
        <f>IF(OR(E47="",F47=""),"",E47-F47)</f>
      </c>
      <c r="H47" s="41">
        <f>IF(G47="","",IF(G47&gt;0,"Vencendo",IF(G47&lt;0,"Perdendo","Empatado")))</f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"/>
      <c r="U47" s="17"/>
      <c r="V47" s="17"/>
      <c r="W47" s="17"/>
      <c r="X47" s="17"/>
      <c r="Y47" s="2"/>
      <c r="Z47" s="17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17"/>
      <c r="AL47" s="17"/>
      <c r="AM47" s="17"/>
      <c r="AN47" s="2"/>
      <c r="AO47" s="17"/>
      <c r="AP47" s="17"/>
      <c r="AQ47" s="17"/>
      <c r="AR47" s="17"/>
      <c r="AS47" s="2"/>
      <c r="AT47" s="17"/>
      <c r="AU47" s="17"/>
      <c r="AV47" s="17"/>
      <c r="AW47" s="17"/>
      <c r="AX47" s="2"/>
      <c r="AY47" s="17"/>
      <c r="AZ47" s="17"/>
      <c r="BA47" s="17"/>
      <c r="BB47" s="2"/>
      <c r="BC47" s="17"/>
    </row>
    <row x14ac:dyDescent="0.25" r="48" customHeight="1" ht="18.75">
      <c r="A48" s="41">
        <f>ROW()-4</f>
      </c>
      <c r="B48" s="17"/>
      <c r="C48" s="17"/>
      <c r="D48" s="17"/>
      <c r="E48" s="4"/>
      <c r="F48" s="4"/>
      <c r="G48" s="41">
        <f>IF(OR(E48="",F48=""),"",E48-F48)</f>
      </c>
      <c r="H48" s="41">
        <f>IF(G48="","",IF(G48&gt;0,"Vencendo",IF(G48&lt;0,"Perdendo","Empatado")))</f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"/>
      <c r="U48" s="17"/>
      <c r="V48" s="17"/>
      <c r="W48" s="17"/>
      <c r="X48" s="17"/>
      <c r="Y48" s="2"/>
      <c r="Z48" s="17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17"/>
      <c r="AL48" s="17"/>
      <c r="AM48" s="17"/>
      <c r="AN48" s="2"/>
      <c r="AO48" s="17"/>
      <c r="AP48" s="17"/>
      <c r="AQ48" s="17"/>
      <c r="AR48" s="17"/>
      <c r="AS48" s="2"/>
      <c r="AT48" s="17"/>
      <c r="AU48" s="17"/>
      <c r="AV48" s="17"/>
      <c r="AW48" s="17"/>
      <c r="AX48" s="2"/>
      <c r="AY48" s="17"/>
      <c r="AZ48" s="17"/>
      <c r="BA48" s="17"/>
      <c r="BB48" s="2"/>
      <c r="BC48" s="17"/>
    </row>
    <row x14ac:dyDescent="0.25" r="49" customHeight="1" ht="18.75">
      <c r="A49" s="41">
        <f>ROW()-4</f>
      </c>
      <c r="B49" s="17"/>
      <c r="C49" s="17"/>
      <c r="D49" s="17"/>
      <c r="E49" s="4"/>
      <c r="F49" s="4"/>
      <c r="G49" s="41">
        <f>IF(OR(E49="",F49=""),"",E49-F49)</f>
      </c>
      <c r="H49" s="41">
        <f>IF(G49="","",IF(G49&gt;0,"Vencendo",IF(G49&lt;0,"Perdendo","Empatado")))</f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"/>
      <c r="U49" s="17"/>
      <c r="V49" s="17"/>
      <c r="W49" s="17"/>
      <c r="X49" s="17"/>
      <c r="Y49" s="2"/>
      <c r="Z49" s="17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17"/>
      <c r="AL49" s="17"/>
      <c r="AM49" s="17"/>
      <c r="AN49" s="2"/>
      <c r="AO49" s="17"/>
      <c r="AP49" s="17"/>
      <c r="AQ49" s="17"/>
      <c r="AR49" s="17"/>
      <c r="AS49" s="2"/>
      <c r="AT49" s="17"/>
      <c r="AU49" s="17"/>
      <c r="AV49" s="17"/>
      <c r="AW49" s="17"/>
      <c r="AX49" s="2"/>
      <c r="AY49" s="17"/>
      <c r="AZ49" s="17"/>
      <c r="BA49" s="17"/>
      <c r="BB49" s="2"/>
      <c r="BC49" s="17"/>
    </row>
    <row x14ac:dyDescent="0.25" r="50" customHeight="1" ht="18.75">
      <c r="A50" s="41">
        <f>ROW()-4</f>
      </c>
      <c r="B50" s="17"/>
      <c r="C50" s="17"/>
      <c r="D50" s="17"/>
      <c r="E50" s="4"/>
      <c r="F50" s="4"/>
      <c r="G50" s="41">
        <f>IF(OR(E50="",F50=""),"",E50-F50)</f>
      </c>
      <c r="H50" s="41">
        <f>IF(G50="","",IF(G50&gt;0,"Vencendo",IF(G50&lt;0,"Perdendo","Empatado")))</f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"/>
      <c r="U50" s="17"/>
      <c r="V50" s="17"/>
      <c r="W50" s="17"/>
      <c r="X50" s="17"/>
      <c r="Y50" s="2"/>
      <c r="Z50" s="17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17"/>
      <c r="AL50" s="17"/>
      <c r="AM50" s="17"/>
      <c r="AN50" s="2"/>
      <c r="AO50" s="17"/>
      <c r="AP50" s="17"/>
      <c r="AQ50" s="17"/>
      <c r="AR50" s="17"/>
      <c r="AS50" s="2"/>
      <c r="AT50" s="17"/>
      <c r="AU50" s="17"/>
      <c r="AV50" s="17"/>
      <c r="AW50" s="17"/>
      <c r="AX50" s="2"/>
      <c r="AY50" s="17"/>
      <c r="AZ50" s="17"/>
      <c r="BA50" s="17"/>
      <c r="BB50" s="2"/>
      <c r="BC50" s="17"/>
    </row>
    <row x14ac:dyDescent="0.25" r="51" customHeight="1" ht="18.75">
      <c r="A51" s="41">
        <f>ROW()-4</f>
      </c>
      <c r="B51" s="17"/>
      <c r="C51" s="17"/>
      <c r="D51" s="17"/>
      <c r="E51" s="4"/>
      <c r="F51" s="4"/>
      <c r="G51" s="41">
        <f>IF(OR(E51="",F51=""),"",E51-F51)</f>
      </c>
      <c r="H51" s="41">
        <f>IF(G51="","",IF(G51&gt;0,"Vencendo",IF(G51&lt;0,"Perdendo","Empatado")))</f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"/>
      <c r="U51" s="17"/>
      <c r="V51" s="17"/>
      <c r="W51" s="17"/>
      <c r="X51" s="17"/>
      <c r="Y51" s="2"/>
      <c r="Z51" s="17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17"/>
      <c r="AL51" s="17"/>
      <c r="AM51" s="17"/>
      <c r="AN51" s="2"/>
      <c r="AO51" s="17"/>
      <c r="AP51" s="17"/>
      <c r="AQ51" s="17"/>
      <c r="AR51" s="17"/>
      <c r="AS51" s="2"/>
      <c r="AT51" s="17"/>
      <c r="AU51" s="17"/>
      <c r="AV51" s="17"/>
      <c r="AW51" s="17"/>
      <c r="AX51" s="2"/>
      <c r="AY51" s="17"/>
      <c r="AZ51" s="17"/>
      <c r="BA51" s="17"/>
      <c r="BB51" s="2"/>
      <c r="BC51" s="17"/>
    </row>
    <row x14ac:dyDescent="0.25" r="52" customHeight="1" ht="18.75">
      <c r="A52" s="41">
        <f>ROW()-4</f>
      </c>
      <c r="B52" s="17"/>
      <c r="C52" s="17"/>
      <c r="D52" s="17"/>
      <c r="E52" s="4"/>
      <c r="F52" s="4"/>
      <c r="G52" s="41">
        <f>IF(OR(E52="",F52=""),"",E52-F52)</f>
      </c>
      <c r="H52" s="41">
        <f>IF(G52="","",IF(G52&gt;0,"Vencendo",IF(G52&lt;0,"Perdendo","Empatado")))</f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"/>
      <c r="U52" s="17"/>
      <c r="V52" s="17"/>
      <c r="W52" s="17"/>
      <c r="X52" s="17"/>
      <c r="Y52" s="2"/>
      <c r="Z52" s="17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17"/>
      <c r="AL52" s="17"/>
      <c r="AM52" s="17"/>
      <c r="AN52" s="2"/>
      <c r="AO52" s="17"/>
      <c r="AP52" s="17"/>
      <c r="AQ52" s="17"/>
      <c r="AR52" s="17"/>
      <c r="AS52" s="2"/>
      <c r="AT52" s="17"/>
      <c r="AU52" s="17"/>
      <c r="AV52" s="17"/>
      <c r="AW52" s="17"/>
      <c r="AX52" s="2"/>
      <c r="AY52" s="17"/>
      <c r="AZ52" s="17"/>
      <c r="BA52" s="17"/>
      <c r="BB52" s="2"/>
      <c r="BC52" s="17"/>
    </row>
    <row x14ac:dyDescent="0.25" r="53" customHeight="1" ht="18.75">
      <c r="A53" s="41">
        <f>ROW()-4</f>
      </c>
      <c r="B53" s="17"/>
      <c r="C53" s="17"/>
      <c r="D53" s="17"/>
      <c r="E53" s="4"/>
      <c r="F53" s="4"/>
      <c r="G53" s="41">
        <f>IF(OR(E53="",F53=""),"",E53-F53)</f>
      </c>
      <c r="H53" s="41">
        <f>IF(G53="","",IF(G53&gt;0,"Vencendo",IF(G53&lt;0,"Perdendo","Empatado")))</f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"/>
      <c r="U53" s="17"/>
      <c r="V53" s="17"/>
      <c r="W53" s="17"/>
      <c r="X53" s="17"/>
      <c r="Y53" s="2"/>
      <c r="Z53" s="17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17"/>
      <c r="AL53" s="17"/>
      <c r="AM53" s="17"/>
      <c r="AN53" s="2"/>
      <c r="AO53" s="17"/>
      <c r="AP53" s="17"/>
      <c r="AQ53" s="17"/>
      <c r="AR53" s="17"/>
      <c r="AS53" s="2"/>
      <c r="AT53" s="17"/>
      <c r="AU53" s="17"/>
      <c r="AV53" s="17"/>
      <c r="AW53" s="17"/>
      <c r="AX53" s="2"/>
      <c r="AY53" s="17"/>
      <c r="AZ53" s="17"/>
      <c r="BA53" s="17"/>
      <c r="BB53" s="2"/>
      <c r="BC53" s="17"/>
    </row>
    <row x14ac:dyDescent="0.25" r="54" customHeight="1" ht="18.75">
      <c r="A54" s="41">
        <f>ROW()-4</f>
      </c>
      <c r="B54" s="17"/>
      <c r="C54" s="17"/>
      <c r="D54" s="17"/>
      <c r="E54" s="4"/>
      <c r="F54" s="4"/>
      <c r="G54" s="41">
        <f>IF(OR(E54="",F54=""),"",E54-F54)</f>
      </c>
      <c r="H54" s="41">
        <f>IF(G54="","",IF(G54&gt;0,"Vencendo",IF(G54&lt;0,"Perdendo","Empatado")))</f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"/>
      <c r="U54" s="17"/>
      <c r="V54" s="17"/>
      <c r="W54" s="17"/>
      <c r="X54" s="17"/>
      <c r="Y54" s="2"/>
      <c r="Z54" s="17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17"/>
      <c r="AL54" s="17"/>
      <c r="AM54" s="17"/>
      <c r="AN54" s="2"/>
      <c r="AO54" s="17"/>
      <c r="AP54" s="17"/>
      <c r="AQ54" s="17"/>
      <c r="AR54" s="17"/>
      <c r="AS54" s="2"/>
      <c r="AT54" s="17"/>
      <c r="AU54" s="17"/>
      <c r="AV54" s="17"/>
      <c r="AW54" s="17"/>
      <c r="AX54" s="2"/>
      <c r="AY54" s="17"/>
      <c r="AZ54" s="17"/>
      <c r="BA54" s="17"/>
      <c r="BB54" s="2"/>
      <c r="BC54" s="17"/>
    </row>
    <row x14ac:dyDescent="0.25" r="55" customHeight="1" ht="18.75">
      <c r="A55" s="41">
        <f>ROW()-4</f>
      </c>
      <c r="B55" s="17"/>
      <c r="C55" s="17"/>
      <c r="D55" s="17"/>
      <c r="E55" s="4"/>
      <c r="F55" s="4"/>
      <c r="G55" s="41">
        <f>IF(OR(E55="",F55=""),"",E55-F55)</f>
      </c>
      <c r="H55" s="41">
        <f>IF(G55="","",IF(G55&gt;0,"Vencendo",IF(G55&lt;0,"Perdendo","Empatado")))</f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"/>
      <c r="U55" s="17"/>
      <c r="V55" s="17"/>
      <c r="W55" s="17"/>
      <c r="X55" s="17"/>
      <c r="Y55" s="2"/>
      <c r="Z55" s="17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17"/>
      <c r="AL55" s="17"/>
      <c r="AM55" s="17"/>
      <c r="AN55" s="2"/>
      <c r="AO55" s="17"/>
      <c r="AP55" s="17"/>
      <c r="AQ55" s="17"/>
      <c r="AR55" s="17"/>
      <c r="AS55" s="2"/>
      <c r="AT55" s="17"/>
      <c r="AU55" s="17"/>
      <c r="AV55" s="17"/>
      <c r="AW55" s="17"/>
      <c r="AX55" s="2"/>
      <c r="AY55" s="17"/>
      <c r="AZ55" s="17"/>
      <c r="BA55" s="17"/>
      <c r="BB55" s="2"/>
      <c r="BC55" s="17"/>
    </row>
    <row x14ac:dyDescent="0.25" r="56" customHeight="1" ht="18.75">
      <c r="A56" s="41">
        <f>ROW()-4</f>
      </c>
      <c r="B56" s="17"/>
      <c r="C56" s="17"/>
      <c r="D56" s="17"/>
      <c r="E56" s="4"/>
      <c r="F56" s="4"/>
      <c r="G56" s="41">
        <f>IF(OR(E56="",F56=""),"",E56-F56)</f>
      </c>
      <c r="H56" s="41">
        <f>IF(G56="","",IF(G56&gt;0,"Vencendo",IF(G56&lt;0,"Perdendo","Empatado")))</f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2"/>
      <c r="U56" s="17"/>
      <c r="V56" s="17"/>
      <c r="W56" s="17"/>
      <c r="X56" s="17"/>
      <c r="Y56" s="2"/>
      <c r="Z56" s="17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17"/>
      <c r="AL56" s="17"/>
      <c r="AM56" s="17"/>
      <c r="AN56" s="2"/>
      <c r="AO56" s="17"/>
      <c r="AP56" s="17"/>
      <c r="AQ56" s="17"/>
      <c r="AR56" s="17"/>
      <c r="AS56" s="2"/>
      <c r="AT56" s="17"/>
      <c r="AU56" s="17"/>
      <c r="AV56" s="17"/>
      <c r="AW56" s="17"/>
      <c r="AX56" s="2"/>
      <c r="AY56" s="17"/>
      <c r="AZ56" s="17"/>
      <c r="BA56" s="17"/>
      <c r="BB56" s="2"/>
      <c r="BC56" s="17"/>
    </row>
    <row x14ac:dyDescent="0.25" r="57" customHeight="1" ht="18.75">
      <c r="A57" s="41">
        <f>ROW()-4</f>
      </c>
      <c r="B57" s="17"/>
      <c r="C57" s="17"/>
      <c r="D57" s="17"/>
      <c r="E57" s="4"/>
      <c r="F57" s="4"/>
      <c r="G57" s="41">
        <f>IF(OR(E57="",F57=""),"",E57-F57)</f>
      </c>
      <c r="H57" s="41">
        <f>IF(G57="","",IF(G57&gt;0,"Vencendo",IF(G57&lt;0,"Perdendo","Empatado")))</f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2"/>
      <c r="U57" s="17"/>
      <c r="V57" s="17"/>
      <c r="W57" s="17"/>
      <c r="X57" s="17"/>
      <c r="Y57" s="2"/>
      <c r="Z57" s="17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17"/>
      <c r="AL57" s="17"/>
      <c r="AM57" s="17"/>
      <c r="AN57" s="2"/>
      <c r="AO57" s="17"/>
      <c r="AP57" s="17"/>
      <c r="AQ57" s="17"/>
      <c r="AR57" s="17"/>
      <c r="AS57" s="2"/>
      <c r="AT57" s="17"/>
      <c r="AU57" s="17"/>
      <c r="AV57" s="17"/>
      <c r="AW57" s="17"/>
      <c r="AX57" s="2"/>
      <c r="AY57" s="17"/>
      <c r="AZ57" s="17"/>
      <c r="BA57" s="17"/>
      <c r="BB57" s="2"/>
      <c r="BC57" s="17"/>
    </row>
    <row x14ac:dyDescent="0.25" r="58" customHeight="1" ht="18.75">
      <c r="A58" s="41">
        <f>ROW()-4</f>
      </c>
      <c r="B58" s="17"/>
      <c r="C58" s="17"/>
      <c r="D58" s="17"/>
      <c r="E58" s="4"/>
      <c r="F58" s="4"/>
      <c r="G58" s="41">
        <f>IF(OR(E58="",F58=""),"",E58-F58)</f>
      </c>
      <c r="H58" s="41">
        <f>IF(G58="","",IF(G58&gt;0,"Vencendo",IF(G58&lt;0,"Perdendo","Empatado")))</f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"/>
      <c r="U58" s="17"/>
      <c r="V58" s="17"/>
      <c r="W58" s="17"/>
      <c r="X58" s="17"/>
      <c r="Y58" s="2"/>
      <c r="Z58" s="17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17"/>
      <c r="AL58" s="17"/>
      <c r="AM58" s="17"/>
      <c r="AN58" s="2"/>
      <c r="AO58" s="17"/>
      <c r="AP58" s="17"/>
      <c r="AQ58" s="17"/>
      <c r="AR58" s="17"/>
      <c r="AS58" s="2"/>
      <c r="AT58" s="17"/>
      <c r="AU58" s="17"/>
      <c r="AV58" s="17"/>
      <c r="AW58" s="17"/>
      <c r="AX58" s="2"/>
      <c r="AY58" s="17"/>
      <c r="AZ58" s="17"/>
      <c r="BA58" s="17"/>
      <c r="BB58" s="2"/>
      <c r="BC58" s="17"/>
    </row>
    <row x14ac:dyDescent="0.25" r="59" customHeight="1" ht="18.75">
      <c r="A59" s="41">
        <f>ROW()-4</f>
      </c>
      <c r="B59" s="17"/>
      <c r="C59" s="17"/>
      <c r="D59" s="17"/>
      <c r="E59" s="4"/>
      <c r="F59" s="4"/>
      <c r="G59" s="41">
        <f>IF(OR(E59="",F59=""),"",E59-F59)</f>
      </c>
      <c r="H59" s="41">
        <f>IF(G59="","",IF(G59&gt;0,"Vencendo",IF(G59&lt;0,"Perdendo","Empatado")))</f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2"/>
      <c r="U59" s="17"/>
      <c r="V59" s="17"/>
      <c r="W59" s="17"/>
      <c r="X59" s="17"/>
      <c r="Y59" s="2"/>
      <c r="Z59" s="17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17"/>
      <c r="AL59" s="17"/>
      <c r="AM59" s="17"/>
      <c r="AN59" s="2"/>
      <c r="AO59" s="17"/>
      <c r="AP59" s="17"/>
      <c r="AQ59" s="17"/>
      <c r="AR59" s="17"/>
      <c r="AS59" s="2"/>
      <c r="AT59" s="17"/>
      <c r="AU59" s="17"/>
      <c r="AV59" s="17"/>
      <c r="AW59" s="17"/>
      <c r="AX59" s="2"/>
      <c r="AY59" s="17"/>
      <c r="AZ59" s="17"/>
      <c r="BA59" s="17"/>
      <c r="BB59" s="2"/>
      <c r="BC59" s="17"/>
    </row>
    <row x14ac:dyDescent="0.25" r="60" customHeight="1" ht="18.75">
      <c r="A60" s="41">
        <f>ROW()-4</f>
      </c>
      <c r="B60" s="17"/>
      <c r="C60" s="17"/>
      <c r="D60" s="17"/>
      <c r="E60" s="4"/>
      <c r="F60" s="4"/>
      <c r="G60" s="41">
        <f>IF(OR(E60="",F60=""),"",E60-F60)</f>
      </c>
      <c r="H60" s="41">
        <f>IF(G60="","",IF(G60&gt;0,"Vencendo",IF(G60&lt;0,"Perdendo","Empatado")))</f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"/>
      <c r="U60" s="17"/>
      <c r="V60" s="17"/>
      <c r="W60" s="17"/>
      <c r="X60" s="17"/>
      <c r="Y60" s="2"/>
      <c r="Z60" s="17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17"/>
      <c r="AL60" s="17"/>
      <c r="AM60" s="17"/>
      <c r="AN60" s="2"/>
      <c r="AO60" s="17"/>
      <c r="AP60" s="17"/>
      <c r="AQ60" s="17"/>
      <c r="AR60" s="17"/>
      <c r="AS60" s="2"/>
      <c r="AT60" s="17"/>
      <c r="AU60" s="17"/>
      <c r="AV60" s="17"/>
      <c r="AW60" s="17"/>
      <c r="AX60" s="2"/>
      <c r="AY60" s="17"/>
      <c r="AZ60" s="17"/>
      <c r="BA60" s="17"/>
      <c r="BB60" s="2"/>
      <c r="BC60" s="17"/>
    </row>
    <row x14ac:dyDescent="0.25" r="61" customHeight="1" ht="18.75">
      <c r="A61" s="41">
        <f>ROW()-4</f>
      </c>
      <c r="B61" s="17"/>
      <c r="C61" s="17"/>
      <c r="D61" s="17"/>
      <c r="E61" s="4"/>
      <c r="F61" s="4"/>
      <c r="G61" s="41">
        <f>IF(OR(E61="",F61=""),"",E61-F61)</f>
      </c>
      <c r="H61" s="41">
        <f>IF(G61="","",IF(G61&gt;0,"Vencendo",IF(G61&lt;0,"Perdendo","Empatado")))</f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"/>
      <c r="U61" s="17"/>
      <c r="V61" s="17"/>
      <c r="W61" s="17"/>
      <c r="X61" s="17"/>
      <c r="Y61" s="2"/>
      <c r="Z61" s="17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17"/>
      <c r="AL61" s="17"/>
      <c r="AM61" s="17"/>
      <c r="AN61" s="2"/>
      <c r="AO61" s="17"/>
      <c r="AP61" s="17"/>
      <c r="AQ61" s="17"/>
      <c r="AR61" s="17"/>
      <c r="AS61" s="2"/>
      <c r="AT61" s="17"/>
      <c r="AU61" s="17"/>
      <c r="AV61" s="17"/>
      <c r="AW61" s="17"/>
      <c r="AX61" s="2"/>
      <c r="AY61" s="17"/>
      <c r="AZ61" s="17"/>
      <c r="BA61" s="17"/>
      <c r="BB61" s="2"/>
      <c r="BC61" s="17"/>
    </row>
    <row x14ac:dyDescent="0.25" r="62" customHeight="1" ht="18.75">
      <c r="A62" s="41">
        <f>ROW()-4</f>
      </c>
      <c r="B62" s="17"/>
      <c r="C62" s="17"/>
      <c r="D62" s="17"/>
      <c r="E62" s="4"/>
      <c r="F62" s="4"/>
      <c r="G62" s="41">
        <f>IF(OR(E62="",F62=""),"",E62-F62)</f>
      </c>
      <c r="H62" s="41">
        <f>IF(G62="","",IF(G62&gt;0,"Vencendo",IF(G62&lt;0,"Perdendo","Empatado")))</f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2"/>
      <c r="U62" s="17"/>
      <c r="V62" s="17"/>
      <c r="W62" s="17"/>
      <c r="X62" s="17"/>
      <c r="Y62" s="2"/>
      <c r="Z62" s="17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17"/>
      <c r="AL62" s="17"/>
      <c r="AM62" s="17"/>
      <c r="AN62" s="2"/>
      <c r="AO62" s="17"/>
      <c r="AP62" s="17"/>
      <c r="AQ62" s="17"/>
      <c r="AR62" s="17"/>
      <c r="AS62" s="2"/>
      <c r="AT62" s="17"/>
      <c r="AU62" s="17"/>
      <c r="AV62" s="17"/>
      <c r="AW62" s="17"/>
      <c r="AX62" s="2"/>
      <c r="AY62" s="17"/>
      <c r="AZ62" s="17"/>
      <c r="BA62" s="17"/>
      <c r="BB62" s="2"/>
      <c r="BC62" s="17"/>
    </row>
    <row x14ac:dyDescent="0.25" r="63" customHeight="1" ht="18.75">
      <c r="A63" s="41">
        <f>ROW()-4</f>
      </c>
      <c r="B63" s="17"/>
      <c r="C63" s="17"/>
      <c r="D63" s="17"/>
      <c r="E63" s="4"/>
      <c r="F63" s="4"/>
      <c r="G63" s="41">
        <f>IF(OR(E63="",F63=""),"",E63-F63)</f>
      </c>
      <c r="H63" s="41">
        <f>IF(G63="","",IF(G63&gt;0,"Vencendo",IF(G63&lt;0,"Perdendo","Empatado")))</f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2"/>
      <c r="U63" s="17"/>
      <c r="V63" s="17"/>
      <c r="W63" s="17"/>
      <c r="X63" s="17"/>
      <c r="Y63" s="2"/>
      <c r="Z63" s="17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17"/>
      <c r="AL63" s="17"/>
      <c r="AM63" s="17"/>
      <c r="AN63" s="2"/>
      <c r="AO63" s="17"/>
      <c r="AP63" s="17"/>
      <c r="AQ63" s="17"/>
      <c r="AR63" s="17"/>
      <c r="AS63" s="2"/>
      <c r="AT63" s="17"/>
      <c r="AU63" s="17"/>
      <c r="AV63" s="17"/>
      <c r="AW63" s="17"/>
      <c r="AX63" s="2"/>
      <c r="AY63" s="17"/>
      <c r="AZ63" s="17"/>
      <c r="BA63" s="17"/>
      <c r="BB63" s="2"/>
      <c r="BC63" s="17"/>
    </row>
    <row x14ac:dyDescent="0.25" r="64" customHeight="1" ht="18.75">
      <c r="A64" s="41">
        <f>ROW()-4</f>
      </c>
      <c r="B64" s="17"/>
      <c r="C64" s="17"/>
      <c r="D64" s="17"/>
      <c r="E64" s="4"/>
      <c r="F64" s="4"/>
      <c r="G64" s="41">
        <f>IF(OR(E64="",F64=""),"",E64-F64)</f>
      </c>
      <c r="H64" s="41">
        <f>IF(G64="","",IF(G64&gt;0,"Vencendo",IF(G64&lt;0,"Perdendo","Empatado")))</f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2"/>
      <c r="U64" s="17"/>
      <c r="V64" s="17"/>
      <c r="W64" s="17"/>
      <c r="X64" s="17"/>
      <c r="Y64" s="2"/>
      <c r="Z64" s="17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17"/>
      <c r="AL64" s="17"/>
      <c r="AM64" s="17"/>
      <c r="AN64" s="2"/>
      <c r="AO64" s="17"/>
      <c r="AP64" s="17"/>
      <c r="AQ64" s="17"/>
      <c r="AR64" s="17"/>
      <c r="AS64" s="2"/>
      <c r="AT64" s="17"/>
      <c r="AU64" s="17"/>
      <c r="AV64" s="17"/>
      <c r="AW64" s="17"/>
      <c r="AX64" s="2"/>
      <c r="AY64" s="17"/>
      <c r="AZ64" s="17"/>
      <c r="BA64" s="17"/>
      <c r="BB64" s="2"/>
      <c r="BC64" s="17"/>
    </row>
    <row x14ac:dyDescent="0.25" r="65" customHeight="1" ht="18.75">
      <c r="A65" s="41">
        <f>ROW()-4</f>
      </c>
      <c r="B65" s="17"/>
      <c r="C65" s="17"/>
      <c r="D65" s="17"/>
      <c r="E65" s="4"/>
      <c r="F65" s="4"/>
      <c r="G65" s="41">
        <f>IF(OR(E65="",F65=""),"",E65-F65)</f>
      </c>
      <c r="H65" s="41">
        <f>IF(G65="","",IF(G65&gt;0,"Vencendo",IF(G65&lt;0,"Perdendo","Empatado")))</f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2"/>
      <c r="U65" s="17"/>
      <c r="V65" s="17"/>
      <c r="W65" s="17"/>
      <c r="X65" s="17"/>
      <c r="Y65" s="2"/>
      <c r="Z65" s="17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17"/>
      <c r="AL65" s="17"/>
      <c r="AM65" s="17"/>
      <c r="AN65" s="2"/>
      <c r="AO65" s="17"/>
      <c r="AP65" s="17"/>
      <c r="AQ65" s="17"/>
      <c r="AR65" s="17"/>
      <c r="AS65" s="2"/>
      <c r="AT65" s="17"/>
      <c r="AU65" s="17"/>
      <c r="AV65" s="17"/>
      <c r="AW65" s="17"/>
      <c r="AX65" s="2"/>
      <c r="AY65" s="17"/>
      <c r="AZ65" s="17"/>
      <c r="BA65" s="17"/>
      <c r="BB65" s="2"/>
      <c r="BC65" s="17"/>
    </row>
    <row x14ac:dyDescent="0.25" r="66" customHeight="1" ht="18.75">
      <c r="A66" s="41">
        <f>ROW()-4</f>
      </c>
      <c r="B66" s="17"/>
      <c r="C66" s="17"/>
      <c r="D66" s="17"/>
      <c r="E66" s="4"/>
      <c r="F66" s="4"/>
      <c r="G66" s="41">
        <f>IF(OR(E66="",F66=""),"",E66-F66)</f>
      </c>
      <c r="H66" s="41">
        <f>IF(G66="","",IF(G66&gt;0,"Vencendo",IF(G66&lt;0,"Perdendo","Empatado")))</f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2"/>
      <c r="U66" s="17"/>
      <c r="V66" s="17"/>
      <c r="W66" s="17"/>
      <c r="X66" s="17"/>
      <c r="Y66" s="2"/>
      <c r="Z66" s="17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17"/>
      <c r="AL66" s="17"/>
      <c r="AM66" s="17"/>
      <c r="AN66" s="2"/>
      <c r="AO66" s="17"/>
      <c r="AP66" s="17"/>
      <c r="AQ66" s="17"/>
      <c r="AR66" s="17"/>
      <c r="AS66" s="2"/>
      <c r="AT66" s="17"/>
      <c r="AU66" s="17"/>
      <c r="AV66" s="17"/>
      <c r="AW66" s="17"/>
      <c r="AX66" s="2"/>
      <c r="AY66" s="17"/>
      <c r="AZ66" s="17"/>
      <c r="BA66" s="17"/>
      <c r="BB66" s="2"/>
      <c r="BC66" s="17"/>
    </row>
    <row x14ac:dyDescent="0.25" r="67" customHeight="1" ht="18.75">
      <c r="A67" s="41">
        <f>ROW()-4</f>
      </c>
      <c r="B67" s="17"/>
      <c r="C67" s="17"/>
      <c r="D67" s="17"/>
      <c r="E67" s="4"/>
      <c r="F67" s="4"/>
      <c r="G67" s="41">
        <f>IF(OR(E67="",F67=""),"",E67-F67)</f>
      </c>
      <c r="H67" s="41">
        <f>IF(G67="","",IF(G67&gt;0,"Vencendo",IF(G67&lt;0,"Perdendo","Empatado")))</f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2"/>
      <c r="U67" s="17"/>
      <c r="V67" s="17"/>
      <c r="W67" s="17"/>
      <c r="X67" s="17"/>
      <c r="Y67" s="2"/>
      <c r="Z67" s="17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17"/>
      <c r="AL67" s="17"/>
      <c r="AM67" s="17"/>
      <c r="AN67" s="2"/>
      <c r="AO67" s="17"/>
      <c r="AP67" s="17"/>
      <c r="AQ67" s="17"/>
      <c r="AR67" s="17"/>
      <c r="AS67" s="2"/>
      <c r="AT67" s="17"/>
      <c r="AU67" s="17"/>
      <c r="AV67" s="17"/>
      <c r="AW67" s="17"/>
      <c r="AX67" s="2"/>
      <c r="AY67" s="17"/>
      <c r="AZ67" s="17"/>
      <c r="BA67" s="17"/>
      <c r="BB67" s="2"/>
      <c r="BC67" s="17"/>
    </row>
    <row x14ac:dyDescent="0.25" r="68" customHeight="1" ht="18.75">
      <c r="A68" s="41">
        <f>ROW()-4</f>
      </c>
      <c r="B68" s="17"/>
      <c r="C68" s="17"/>
      <c r="D68" s="17"/>
      <c r="E68" s="4"/>
      <c r="F68" s="4"/>
      <c r="G68" s="41">
        <f>IF(OR(E68="",F68=""),"",E68-F68)</f>
      </c>
      <c r="H68" s="41">
        <f>IF(G68="","",IF(G68&gt;0,"Vencendo",IF(G68&lt;0,"Perdendo","Empatado")))</f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"/>
      <c r="U68" s="17"/>
      <c r="V68" s="17"/>
      <c r="W68" s="17"/>
      <c r="X68" s="17"/>
      <c r="Y68" s="2"/>
      <c r="Z68" s="17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17"/>
      <c r="AL68" s="17"/>
      <c r="AM68" s="17"/>
      <c r="AN68" s="2"/>
      <c r="AO68" s="17"/>
      <c r="AP68" s="17"/>
      <c r="AQ68" s="17"/>
      <c r="AR68" s="17"/>
      <c r="AS68" s="2"/>
      <c r="AT68" s="17"/>
      <c r="AU68" s="17"/>
      <c r="AV68" s="17"/>
      <c r="AW68" s="17"/>
      <c r="AX68" s="2"/>
      <c r="AY68" s="17"/>
      <c r="AZ68" s="17"/>
      <c r="BA68" s="17"/>
      <c r="BB68" s="2"/>
      <c r="BC68" s="17"/>
    </row>
    <row x14ac:dyDescent="0.25" r="69" customHeight="1" ht="18.75">
      <c r="A69" s="41">
        <f>ROW()-4</f>
      </c>
      <c r="B69" s="17"/>
      <c r="C69" s="17"/>
      <c r="D69" s="17"/>
      <c r="E69" s="4"/>
      <c r="F69" s="4"/>
      <c r="G69" s="41">
        <f>IF(OR(E69="",F69=""),"",E69-F69)</f>
      </c>
      <c r="H69" s="41">
        <f>IF(G69="","",IF(G69&gt;0,"Vencendo",IF(G69&lt;0,"Perdendo","Empatado")))</f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"/>
      <c r="U69" s="17"/>
      <c r="V69" s="17"/>
      <c r="W69" s="17"/>
      <c r="X69" s="17"/>
      <c r="Y69" s="2"/>
      <c r="Z69" s="17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17"/>
      <c r="AL69" s="17"/>
      <c r="AM69" s="17"/>
      <c r="AN69" s="2"/>
      <c r="AO69" s="17"/>
      <c r="AP69" s="17"/>
      <c r="AQ69" s="17"/>
      <c r="AR69" s="17"/>
      <c r="AS69" s="2"/>
      <c r="AT69" s="17"/>
      <c r="AU69" s="17"/>
      <c r="AV69" s="17"/>
      <c r="AW69" s="17"/>
      <c r="AX69" s="2"/>
      <c r="AY69" s="17"/>
      <c r="AZ69" s="17"/>
      <c r="BA69" s="17"/>
      <c r="BB69" s="2"/>
      <c r="BC69" s="17"/>
    </row>
    <row x14ac:dyDescent="0.25" r="70" customHeight="1" ht="18.75">
      <c r="A70" s="41">
        <f>ROW()-4</f>
      </c>
      <c r="B70" s="17"/>
      <c r="C70" s="17"/>
      <c r="D70" s="17"/>
      <c r="E70" s="4"/>
      <c r="F70" s="4"/>
      <c r="G70" s="41">
        <f>IF(OR(E70="",F70=""),"",E70-F70)</f>
      </c>
      <c r="H70" s="41">
        <f>IF(G70="","",IF(G70&gt;0,"Vencendo",IF(G70&lt;0,"Perdendo","Empatado")))</f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2"/>
      <c r="U70" s="17"/>
      <c r="V70" s="17"/>
      <c r="W70" s="17"/>
      <c r="X70" s="17"/>
      <c r="Y70" s="2"/>
      <c r="Z70" s="17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17"/>
      <c r="AL70" s="17"/>
      <c r="AM70" s="17"/>
      <c r="AN70" s="2"/>
      <c r="AO70" s="17"/>
      <c r="AP70" s="17"/>
      <c r="AQ70" s="17"/>
      <c r="AR70" s="17"/>
      <c r="AS70" s="2"/>
      <c r="AT70" s="17"/>
      <c r="AU70" s="17"/>
      <c r="AV70" s="17"/>
      <c r="AW70" s="17"/>
      <c r="AX70" s="2"/>
      <c r="AY70" s="17"/>
      <c r="AZ70" s="17"/>
      <c r="BA70" s="17"/>
      <c r="BB70" s="2"/>
      <c r="BC70" s="17"/>
    </row>
    <row x14ac:dyDescent="0.25" r="71" customHeight="1" ht="18.75">
      <c r="A71" s="41">
        <f>ROW()-4</f>
      </c>
      <c r="B71" s="17"/>
      <c r="C71" s="17"/>
      <c r="D71" s="17"/>
      <c r="E71" s="4"/>
      <c r="F71" s="4"/>
      <c r="G71" s="41">
        <f>IF(OR(E71="",F71=""),"",E71-F71)</f>
      </c>
      <c r="H71" s="41">
        <f>IF(G71="","",IF(G71&gt;0,"Vencendo",IF(G71&lt;0,"Perdendo","Empatado")))</f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2"/>
      <c r="U71" s="17"/>
      <c r="V71" s="17"/>
      <c r="W71" s="17"/>
      <c r="X71" s="17"/>
      <c r="Y71" s="2"/>
      <c r="Z71" s="17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17"/>
      <c r="AL71" s="17"/>
      <c r="AM71" s="17"/>
      <c r="AN71" s="2"/>
      <c r="AO71" s="17"/>
      <c r="AP71" s="17"/>
      <c r="AQ71" s="17"/>
      <c r="AR71" s="17"/>
      <c r="AS71" s="2"/>
      <c r="AT71" s="17"/>
      <c r="AU71" s="17"/>
      <c r="AV71" s="17"/>
      <c r="AW71" s="17"/>
      <c r="AX71" s="2"/>
      <c r="AY71" s="17"/>
      <c r="AZ71" s="17"/>
      <c r="BA71" s="17"/>
      <c r="BB71" s="2"/>
      <c r="BC71" s="17"/>
    </row>
    <row x14ac:dyDescent="0.25" r="72" customHeight="1" ht="18.75">
      <c r="A72" s="41">
        <f>ROW()-4</f>
      </c>
      <c r="B72" s="17"/>
      <c r="C72" s="17"/>
      <c r="D72" s="17"/>
      <c r="E72" s="4"/>
      <c r="F72" s="4"/>
      <c r="G72" s="41">
        <f>IF(OR(E72="",F72=""),"",E72-F72)</f>
      </c>
      <c r="H72" s="41">
        <f>IF(G72="","",IF(G72&gt;0,"Vencendo",IF(G72&lt;0,"Perdendo","Empatado")))</f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2"/>
      <c r="U72" s="17"/>
      <c r="V72" s="17"/>
      <c r="W72" s="17"/>
      <c r="X72" s="17"/>
      <c r="Y72" s="2"/>
      <c r="Z72" s="17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17"/>
      <c r="AL72" s="17"/>
      <c r="AM72" s="17"/>
      <c r="AN72" s="2"/>
      <c r="AO72" s="17"/>
      <c r="AP72" s="17"/>
      <c r="AQ72" s="17"/>
      <c r="AR72" s="17"/>
      <c r="AS72" s="2"/>
      <c r="AT72" s="17"/>
      <c r="AU72" s="17"/>
      <c r="AV72" s="17"/>
      <c r="AW72" s="17"/>
      <c r="AX72" s="2"/>
      <c r="AY72" s="17"/>
      <c r="AZ72" s="17"/>
      <c r="BA72" s="17"/>
      <c r="BB72" s="2"/>
      <c r="BC72" s="17"/>
    </row>
    <row x14ac:dyDescent="0.25" r="73" customHeight="1" ht="18.75">
      <c r="A73" s="41">
        <f>ROW()-4</f>
      </c>
      <c r="B73" s="17"/>
      <c r="C73" s="17"/>
      <c r="D73" s="17"/>
      <c r="E73" s="4"/>
      <c r="F73" s="4"/>
      <c r="G73" s="41">
        <f>IF(OR(E73="",F73=""),"",E73-F73)</f>
      </c>
      <c r="H73" s="41">
        <f>IF(G73="","",IF(G73&gt;0,"Vencendo",IF(G73&lt;0,"Perdendo","Empatado")))</f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2"/>
      <c r="U73" s="17"/>
      <c r="V73" s="17"/>
      <c r="W73" s="17"/>
      <c r="X73" s="17"/>
      <c r="Y73" s="2"/>
      <c r="Z73" s="17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17"/>
      <c r="AL73" s="17"/>
      <c r="AM73" s="17"/>
      <c r="AN73" s="2"/>
      <c r="AO73" s="17"/>
      <c r="AP73" s="17"/>
      <c r="AQ73" s="17"/>
      <c r="AR73" s="17"/>
      <c r="AS73" s="2"/>
      <c r="AT73" s="17"/>
      <c r="AU73" s="17"/>
      <c r="AV73" s="17"/>
      <c r="AW73" s="17"/>
      <c r="AX73" s="2"/>
      <c r="AY73" s="17"/>
      <c r="AZ73" s="17"/>
      <c r="BA73" s="17"/>
      <c r="BB73" s="2"/>
      <c r="BC73" s="17"/>
    </row>
    <row x14ac:dyDescent="0.25" r="74" customHeight="1" ht="18.75">
      <c r="A74" s="41">
        <f>ROW()-4</f>
      </c>
      <c r="B74" s="17"/>
      <c r="C74" s="17"/>
      <c r="D74" s="17"/>
      <c r="E74" s="4"/>
      <c r="F74" s="4"/>
      <c r="G74" s="41">
        <f>IF(OR(E74="",F74=""),"",E74-F74)</f>
      </c>
      <c r="H74" s="41">
        <f>IF(G74="","",IF(G74&gt;0,"Vencendo",IF(G74&lt;0,"Perdendo","Empatado")))</f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2"/>
      <c r="U74" s="17"/>
      <c r="V74" s="17"/>
      <c r="W74" s="17"/>
      <c r="X74" s="17"/>
      <c r="Y74" s="2"/>
      <c r="Z74" s="17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17"/>
      <c r="AL74" s="17"/>
      <c r="AM74" s="17"/>
      <c r="AN74" s="2"/>
      <c r="AO74" s="17"/>
      <c r="AP74" s="17"/>
      <c r="AQ74" s="17"/>
      <c r="AR74" s="17"/>
      <c r="AS74" s="2"/>
      <c r="AT74" s="17"/>
      <c r="AU74" s="17"/>
      <c r="AV74" s="17"/>
      <c r="AW74" s="17"/>
      <c r="AX74" s="2"/>
      <c r="AY74" s="17"/>
      <c r="AZ74" s="17"/>
      <c r="BA74" s="17"/>
      <c r="BB74" s="2"/>
      <c r="BC74" s="17"/>
    </row>
    <row x14ac:dyDescent="0.25" r="75" customHeight="1" ht="18.75">
      <c r="A75" s="41">
        <f>ROW()-4</f>
      </c>
      <c r="B75" s="17"/>
      <c r="C75" s="17"/>
      <c r="D75" s="17"/>
      <c r="E75" s="4"/>
      <c r="F75" s="4"/>
      <c r="G75" s="41">
        <f>IF(OR(E75="",F75=""),"",E75-F75)</f>
      </c>
      <c r="H75" s="41">
        <f>IF(G75="","",IF(G75&gt;0,"Vencendo",IF(G75&lt;0,"Perdendo","Empatado")))</f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2"/>
      <c r="U75" s="17"/>
      <c r="V75" s="17"/>
      <c r="W75" s="17"/>
      <c r="X75" s="17"/>
      <c r="Y75" s="2"/>
      <c r="Z75" s="17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17"/>
      <c r="AL75" s="17"/>
      <c r="AM75" s="17"/>
      <c r="AN75" s="2"/>
      <c r="AO75" s="17"/>
      <c r="AP75" s="17"/>
      <c r="AQ75" s="17"/>
      <c r="AR75" s="17"/>
      <c r="AS75" s="2"/>
      <c r="AT75" s="17"/>
      <c r="AU75" s="17"/>
      <c r="AV75" s="17"/>
      <c r="AW75" s="17"/>
      <c r="AX75" s="2"/>
      <c r="AY75" s="17"/>
      <c r="AZ75" s="17"/>
      <c r="BA75" s="17"/>
      <c r="BB75" s="2"/>
      <c r="BC75" s="17"/>
    </row>
    <row x14ac:dyDescent="0.25" r="76" customHeight="1" ht="18.75">
      <c r="A76" s="41">
        <f>ROW()-4</f>
      </c>
      <c r="B76" s="17"/>
      <c r="C76" s="17"/>
      <c r="D76" s="17"/>
      <c r="E76" s="4"/>
      <c r="F76" s="4"/>
      <c r="G76" s="41">
        <f>IF(OR(E76="",F76=""),"",E76-F76)</f>
      </c>
      <c r="H76" s="41">
        <f>IF(G76="","",IF(G76&gt;0,"Vencendo",IF(G76&lt;0,"Perdendo","Empatado")))</f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2"/>
      <c r="U76" s="17"/>
      <c r="V76" s="17"/>
      <c r="W76" s="17"/>
      <c r="X76" s="17"/>
      <c r="Y76" s="2"/>
      <c r="Z76" s="17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17"/>
      <c r="AL76" s="17"/>
      <c r="AM76" s="17"/>
      <c r="AN76" s="2"/>
      <c r="AO76" s="17"/>
      <c r="AP76" s="17"/>
      <c r="AQ76" s="17"/>
      <c r="AR76" s="17"/>
      <c r="AS76" s="2"/>
      <c r="AT76" s="17"/>
      <c r="AU76" s="17"/>
      <c r="AV76" s="17"/>
      <c r="AW76" s="17"/>
      <c r="AX76" s="2"/>
      <c r="AY76" s="17"/>
      <c r="AZ76" s="17"/>
      <c r="BA76" s="17"/>
      <c r="BB76" s="2"/>
      <c r="BC76" s="17"/>
    </row>
    <row x14ac:dyDescent="0.25" r="77" customHeight="1" ht="18.75">
      <c r="A77" s="41">
        <f>ROW()-4</f>
      </c>
      <c r="B77" s="17"/>
      <c r="C77" s="17"/>
      <c r="D77" s="17"/>
      <c r="E77" s="4"/>
      <c r="F77" s="4"/>
      <c r="G77" s="41">
        <f>IF(OR(E77="",F77=""),"",E77-F77)</f>
      </c>
      <c r="H77" s="41">
        <f>IF(G77="","",IF(G77&gt;0,"Vencendo",IF(G77&lt;0,"Perdendo","Empatado")))</f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2"/>
      <c r="U77" s="17"/>
      <c r="V77" s="17"/>
      <c r="W77" s="17"/>
      <c r="X77" s="17"/>
      <c r="Y77" s="2"/>
      <c r="Z77" s="17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17"/>
      <c r="AL77" s="17"/>
      <c r="AM77" s="17"/>
      <c r="AN77" s="2"/>
      <c r="AO77" s="17"/>
      <c r="AP77" s="17"/>
      <c r="AQ77" s="17"/>
      <c r="AR77" s="17"/>
      <c r="AS77" s="2"/>
      <c r="AT77" s="17"/>
      <c r="AU77" s="17"/>
      <c r="AV77" s="17"/>
      <c r="AW77" s="17"/>
      <c r="AX77" s="2"/>
      <c r="AY77" s="17"/>
      <c r="AZ77" s="17"/>
      <c r="BA77" s="17"/>
      <c r="BB77" s="2"/>
      <c r="BC77" s="17"/>
    </row>
    <row x14ac:dyDescent="0.25" r="78" customHeight="1" ht="18.75">
      <c r="A78" s="41">
        <f>ROW()-4</f>
      </c>
      <c r="B78" s="17"/>
      <c r="C78" s="17"/>
      <c r="D78" s="17"/>
      <c r="E78" s="4"/>
      <c r="F78" s="4"/>
      <c r="G78" s="41">
        <f>IF(OR(E78="",F78=""),"",E78-F78)</f>
      </c>
      <c r="H78" s="41">
        <f>IF(G78="","",IF(G78&gt;0,"Vencendo",IF(G78&lt;0,"Perdendo","Empatado")))</f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2"/>
      <c r="U78" s="17"/>
      <c r="V78" s="17"/>
      <c r="W78" s="17"/>
      <c r="X78" s="17"/>
      <c r="Y78" s="2"/>
      <c r="Z78" s="17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17"/>
      <c r="AL78" s="17"/>
      <c r="AM78" s="17"/>
      <c r="AN78" s="2"/>
      <c r="AO78" s="17"/>
      <c r="AP78" s="17"/>
      <c r="AQ78" s="17"/>
      <c r="AR78" s="17"/>
      <c r="AS78" s="2"/>
      <c r="AT78" s="17"/>
      <c r="AU78" s="17"/>
      <c r="AV78" s="17"/>
      <c r="AW78" s="17"/>
      <c r="AX78" s="2"/>
      <c r="AY78" s="17"/>
      <c r="AZ78" s="17"/>
      <c r="BA78" s="17"/>
      <c r="BB78" s="2"/>
      <c r="BC78" s="17"/>
    </row>
    <row x14ac:dyDescent="0.25" r="79" customHeight="1" ht="18.75">
      <c r="A79" s="41">
        <f>ROW()-4</f>
      </c>
      <c r="B79" s="17"/>
      <c r="C79" s="17"/>
      <c r="D79" s="17"/>
      <c r="E79" s="4"/>
      <c r="F79" s="4"/>
      <c r="G79" s="41">
        <f>IF(OR(E79="",F79=""),"",E79-F79)</f>
      </c>
      <c r="H79" s="41">
        <f>IF(G79="","",IF(G79&gt;0,"Vencendo",IF(G79&lt;0,"Perdendo","Empatado")))</f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2"/>
      <c r="U79" s="17"/>
      <c r="V79" s="17"/>
      <c r="W79" s="17"/>
      <c r="X79" s="17"/>
      <c r="Y79" s="2"/>
      <c r="Z79" s="17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17"/>
      <c r="AL79" s="17"/>
      <c r="AM79" s="17"/>
      <c r="AN79" s="2"/>
      <c r="AO79" s="17"/>
      <c r="AP79" s="17"/>
      <c r="AQ79" s="17"/>
      <c r="AR79" s="17"/>
      <c r="AS79" s="2"/>
      <c r="AT79" s="17"/>
      <c r="AU79" s="17"/>
      <c r="AV79" s="17"/>
      <c r="AW79" s="17"/>
      <c r="AX79" s="2"/>
      <c r="AY79" s="17"/>
      <c r="AZ79" s="17"/>
      <c r="BA79" s="17"/>
      <c r="BB79" s="2"/>
      <c r="BC79" s="17"/>
    </row>
    <row x14ac:dyDescent="0.25" r="80" customHeight="1" ht="18.75">
      <c r="A80" s="41">
        <f>ROW()-4</f>
      </c>
      <c r="B80" s="17"/>
      <c r="C80" s="17"/>
      <c r="D80" s="17"/>
      <c r="E80" s="4"/>
      <c r="F80" s="4"/>
      <c r="G80" s="41">
        <f>IF(OR(E80="",F80=""),"",E80-F80)</f>
      </c>
      <c r="H80" s="41">
        <f>IF(G80="","",IF(G80&gt;0,"Vencendo",IF(G80&lt;0,"Perdendo","Empatado")))</f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2"/>
      <c r="U80" s="17"/>
      <c r="V80" s="17"/>
      <c r="W80" s="17"/>
      <c r="X80" s="17"/>
      <c r="Y80" s="2"/>
      <c r="Z80" s="17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17"/>
      <c r="AL80" s="17"/>
      <c r="AM80" s="17"/>
      <c r="AN80" s="2"/>
      <c r="AO80" s="17"/>
      <c r="AP80" s="17"/>
      <c r="AQ80" s="17"/>
      <c r="AR80" s="17"/>
      <c r="AS80" s="2"/>
      <c r="AT80" s="17"/>
      <c r="AU80" s="17"/>
      <c r="AV80" s="17"/>
      <c r="AW80" s="17"/>
      <c r="AX80" s="2"/>
      <c r="AY80" s="17"/>
      <c r="AZ80" s="17"/>
      <c r="BA80" s="17"/>
      <c r="BB80" s="2"/>
      <c r="BC80" s="17"/>
    </row>
    <row x14ac:dyDescent="0.25" r="81" customHeight="1" ht="18.75">
      <c r="A81" s="41">
        <f>ROW()-4</f>
      </c>
      <c r="B81" s="17"/>
      <c r="C81" s="17"/>
      <c r="D81" s="17"/>
      <c r="E81" s="4"/>
      <c r="F81" s="4"/>
      <c r="G81" s="41">
        <f>IF(OR(E81="",F81=""),"",E81-F81)</f>
      </c>
      <c r="H81" s="41">
        <f>IF(G81="","",IF(G81&gt;0,"Vencendo",IF(G81&lt;0,"Perdendo","Empatado")))</f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"/>
      <c r="U81" s="17"/>
      <c r="V81" s="17"/>
      <c r="W81" s="17"/>
      <c r="X81" s="17"/>
      <c r="Y81" s="2"/>
      <c r="Z81" s="17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17"/>
      <c r="AL81" s="17"/>
      <c r="AM81" s="17"/>
      <c r="AN81" s="2"/>
      <c r="AO81" s="17"/>
      <c r="AP81" s="17"/>
      <c r="AQ81" s="17"/>
      <c r="AR81" s="17"/>
      <c r="AS81" s="2"/>
      <c r="AT81" s="17"/>
      <c r="AU81" s="17"/>
      <c r="AV81" s="17"/>
      <c r="AW81" s="17"/>
      <c r="AX81" s="2"/>
      <c r="AY81" s="17"/>
      <c r="AZ81" s="17"/>
      <c r="BA81" s="17"/>
      <c r="BB81" s="2"/>
      <c r="BC81" s="17"/>
    </row>
    <row x14ac:dyDescent="0.25" r="82" customHeight="1" ht="18.75">
      <c r="A82" s="41">
        <f>ROW()-4</f>
      </c>
      <c r="B82" s="17"/>
      <c r="C82" s="17"/>
      <c r="D82" s="17"/>
      <c r="E82" s="4"/>
      <c r="F82" s="4"/>
      <c r="G82" s="41">
        <f>IF(OR(E82="",F82=""),"",E82-F82)</f>
      </c>
      <c r="H82" s="41">
        <f>IF(G82="","",IF(G82&gt;0,"Vencendo",IF(G82&lt;0,"Perdendo","Empatado")))</f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2"/>
      <c r="U82" s="17"/>
      <c r="V82" s="17"/>
      <c r="W82" s="17"/>
      <c r="X82" s="17"/>
      <c r="Y82" s="2"/>
      <c r="Z82" s="17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17"/>
      <c r="AL82" s="17"/>
      <c r="AM82" s="17"/>
      <c r="AN82" s="2"/>
      <c r="AO82" s="17"/>
      <c r="AP82" s="17"/>
      <c r="AQ82" s="17"/>
      <c r="AR82" s="17"/>
      <c r="AS82" s="2"/>
      <c r="AT82" s="17"/>
      <c r="AU82" s="17"/>
      <c r="AV82" s="17"/>
      <c r="AW82" s="17"/>
      <c r="AX82" s="2"/>
      <c r="AY82" s="17"/>
      <c r="AZ82" s="17"/>
      <c r="BA82" s="17"/>
      <c r="BB82" s="2"/>
      <c r="BC82" s="17"/>
    </row>
    <row x14ac:dyDescent="0.25" r="83" customHeight="1" ht="18.75">
      <c r="A83" s="41">
        <f>ROW()-4</f>
      </c>
      <c r="B83" s="17"/>
      <c r="C83" s="17"/>
      <c r="D83" s="17"/>
      <c r="E83" s="4"/>
      <c r="F83" s="4"/>
      <c r="G83" s="41">
        <f>IF(OR(E83="",F83=""),"",E83-F83)</f>
      </c>
      <c r="H83" s="41">
        <f>IF(G83="","",IF(G83&gt;0,"Vencendo",IF(G83&lt;0,"Perdendo","Empatado")))</f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2"/>
      <c r="U83" s="17"/>
      <c r="V83" s="17"/>
      <c r="W83" s="17"/>
      <c r="X83" s="17"/>
      <c r="Y83" s="2"/>
      <c r="Z83" s="17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17"/>
      <c r="AL83" s="17"/>
      <c r="AM83" s="17"/>
      <c r="AN83" s="2"/>
      <c r="AO83" s="17"/>
      <c r="AP83" s="17"/>
      <c r="AQ83" s="17"/>
      <c r="AR83" s="17"/>
      <c r="AS83" s="2"/>
      <c r="AT83" s="17"/>
      <c r="AU83" s="17"/>
      <c r="AV83" s="17"/>
      <c r="AW83" s="17"/>
      <c r="AX83" s="2"/>
      <c r="AY83" s="17"/>
      <c r="AZ83" s="17"/>
      <c r="BA83" s="17"/>
      <c r="BB83" s="2"/>
      <c r="BC83" s="17"/>
    </row>
    <row x14ac:dyDescent="0.25" r="84" customHeight="1" ht="18.75">
      <c r="A84" s="41">
        <f>ROW()-4</f>
      </c>
      <c r="B84" s="17"/>
      <c r="C84" s="17"/>
      <c r="D84" s="17"/>
      <c r="E84" s="4"/>
      <c r="F84" s="4"/>
      <c r="G84" s="41">
        <f>IF(OR(E84="",F84=""),"",E84-F84)</f>
      </c>
      <c r="H84" s="41">
        <f>IF(G84="","",IF(G84&gt;0,"Vencendo",IF(G84&lt;0,"Perdendo","Empatado")))</f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"/>
      <c r="U84" s="17"/>
      <c r="V84" s="17"/>
      <c r="W84" s="17"/>
      <c r="X84" s="17"/>
      <c r="Y84" s="2"/>
      <c r="Z84" s="17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17"/>
      <c r="AL84" s="17"/>
      <c r="AM84" s="17"/>
      <c r="AN84" s="2"/>
      <c r="AO84" s="17"/>
      <c r="AP84" s="17"/>
      <c r="AQ84" s="17"/>
      <c r="AR84" s="17"/>
      <c r="AS84" s="2"/>
      <c r="AT84" s="17"/>
      <c r="AU84" s="17"/>
      <c r="AV84" s="17"/>
      <c r="AW84" s="17"/>
      <c r="AX84" s="2"/>
      <c r="AY84" s="17"/>
      <c r="AZ84" s="17"/>
      <c r="BA84" s="17"/>
      <c r="BB84" s="2"/>
      <c r="BC84" s="17"/>
    </row>
    <row x14ac:dyDescent="0.25" r="85" customHeight="1" ht="18.75">
      <c r="A85" s="41">
        <f>ROW()-4</f>
      </c>
      <c r="B85" s="17"/>
      <c r="C85" s="17"/>
      <c r="D85" s="17"/>
      <c r="E85" s="4"/>
      <c r="F85" s="4"/>
      <c r="G85" s="41">
        <f>IF(OR(E85="",F85=""),"",E85-F85)</f>
      </c>
      <c r="H85" s="41">
        <f>IF(G85="","",IF(G85&gt;0,"Vencendo",IF(G85&lt;0,"Perdendo","Empatado")))</f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2"/>
      <c r="U85" s="17"/>
      <c r="V85" s="17"/>
      <c r="W85" s="17"/>
      <c r="X85" s="17"/>
      <c r="Y85" s="2"/>
      <c r="Z85" s="17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17"/>
      <c r="AL85" s="17"/>
      <c r="AM85" s="17"/>
      <c r="AN85" s="2"/>
      <c r="AO85" s="17"/>
      <c r="AP85" s="17"/>
      <c r="AQ85" s="17"/>
      <c r="AR85" s="17"/>
      <c r="AS85" s="2"/>
      <c r="AT85" s="17"/>
      <c r="AU85" s="17"/>
      <c r="AV85" s="17"/>
      <c r="AW85" s="17"/>
      <c r="AX85" s="2"/>
      <c r="AY85" s="17"/>
      <c r="AZ85" s="17"/>
      <c r="BA85" s="17"/>
      <c r="BB85" s="2"/>
      <c r="BC85" s="17"/>
    </row>
    <row x14ac:dyDescent="0.25" r="86" customHeight="1" ht="18.75">
      <c r="A86" s="41">
        <f>ROW()-4</f>
      </c>
      <c r="B86" s="17"/>
      <c r="C86" s="17"/>
      <c r="D86" s="17"/>
      <c r="E86" s="4"/>
      <c r="F86" s="4"/>
      <c r="G86" s="41">
        <f>IF(OR(E86="",F86=""),"",E86-F86)</f>
      </c>
      <c r="H86" s="41">
        <f>IF(G86="","",IF(G86&gt;0,"Vencendo",IF(G86&lt;0,"Perdendo","Empatado")))</f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2"/>
      <c r="U86" s="17"/>
      <c r="V86" s="17"/>
      <c r="W86" s="17"/>
      <c r="X86" s="17"/>
      <c r="Y86" s="2"/>
      <c r="Z86" s="17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17"/>
      <c r="AL86" s="17"/>
      <c r="AM86" s="17"/>
      <c r="AN86" s="2"/>
      <c r="AO86" s="17"/>
      <c r="AP86" s="17"/>
      <c r="AQ86" s="17"/>
      <c r="AR86" s="17"/>
      <c r="AS86" s="2"/>
      <c r="AT86" s="17"/>
      <c r="AU86" s="17"/>
      <c r="AV86" s="17"/>
      <c r="AW86" s="17"/>
      <c r="AX86" s="2"/>
      <c r="AY86" s="17"/>
      <c r="AZ86" s="17"/>
      <c r="BA86" s="17"/>
      <c r="BB86" s="2"/>
      <c r="BC86" s="17"/>
    </row>
    <row x14ac:dyDescent="0.25" r="87" customHeight="1" ht="18.75">
      <c r="A87" s="41">
        <f>ROW()-4</f>
      </c>
      <c r="B87" s="17"/>
      <c r="C87" s="17"/>
      <c r="D87" s="17"/>
      <c r="E87" s="4"/>
      <c r="F87" s="4"/>
      <c r="G87" s="41">
        <f>IF(OR(E87="",F87=""),"",E87-F87)</f>
      </c>
      <c r="H87" s="41">
        <f>IF(G87="","",IF(G87&gt;0,"Vencendo",IF(G87&lt;0,"Perdendo","Empatado")))</f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2"/>
      <c r="U87" s="17"/>
      <c r="V87" s="17"/>
      <c r="W87" s="17"/>
      <c r="X87" s="17"/>
      <c r="Y87" s="2"/>
      <c r="Z87" s="17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17"/>
      <c r="AL87" s="17"/>
      <c r="AM87" s="17"/>
      <c r="AN87" s="2"/>
      <c r="AO87" s="17"/>
      <c r="AP87" s="17"/>
      <c r="AQ87" s="17"/>
      <c r="AR87" s="17"/>
      <c r="AS87" s="2"/>
      <c r="AT87" s="17"/>
      <c r="AU87" s="17"/>
      <c r="AV87" s="17"/>
      <c r="AW87" s="17"/>
      <c r="AX87" s="2"/>
      <c r="AY87" s="17"/>
      <c r="AZ87" s="17"/>
      <c r="BA87" s="17"/>
      <c r="BB87" s="2"/>
      <c r="BC87" s="17"/>
    </row>
    <row x14ac:dyDescent="0.25" r="88" customHeight="1" ht="18.75">
      <c r="A88" s="41">
        <f>ROW()-4</f>
      </c>
      <c r="B88" s="17"/>
      <c r="C88" s="17"/>
      <c r="D88" s="17"/>
      <c r="E88" s="4"/>
      <c r="F88" s="4"/>
      <c r="G88" s="41">
        <f>IF(OR(E88="",F88=""),"",E88-F88)</f>
      </c>
      <c r="H88" s="41">
        <f>IF(G88="","",IF(G88&gt;0,"Vencendo",IF(G88&lt;0,"Perdendo","Empatado")))</f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2"/>
      <c r="U88" s="17"/>
      <c r="V88" s="17"/>
      <c r="W88" s="17"/>
      <c r="X88" s="17"/>
      <c r="Y88" s="2"/>
      <c r="Z88" s="17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17"/>
      <c r="AL88" s="17"/>
      <c r="AM88" s="17"/>
      <c r="AN88" s="2"/>
      <c r="AO88" s="17"/>
      <c r="AP88" s="17"/>
      <c r="AQ88" s="17"/>
      <c r="AR88" s="17"/>
      <c r="AS88" s="2"/>
      <c r="AT88" s="17"/>
      <c r="AU88" s="17"/>
      <c r="AV88" s="17"/>
      <c r="AW88" s="17"/>
      <c r="AX88" s="2"/>
      <c r="AY88" s="17"/>
      <c r="AZ88" s="17"/>
      <c r="BA88" s="17"/>
      <c r="BB88" s="2"/>
      <c r="BC88" s="17"/>
    </row>
    <row x14ac:dyDescent="0.25" r="89" customHeight="1" ht="18.75">
      <c r="A89" s="41">
        <f>ROW()-4</f>
      </c>
      <c r="B89" s="17"/>
      <c r="C89" s="17"/>
      <c r="D89" s="17"/>
      <c r="E89" s="4"/>
      <c r="F89" s="4"/>
      <c r="G89" s="41">
        <f>IF(OR(E89="",F89=""),"",E89-F89)</f>
      </c>
      <c r="H89" s="41">
        <f>IF(G89="","",IF(G89&gt;0,"Vencendo",IF(G89&lt;0,"Perdendo","Empatado")))</f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2"/>
      <c r="U89" s="17"/>
      <c r="V89" s="17"/>
      <c r="W89" s="17"/>
      <c r="X89" s="17"/>
      <c r="Y89" s="2"/>
      <c r="Z89" s="17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17"/>
      <c r="AL89" s="17"/>
      <c r="AM89" s="17"/>
      <c r="AN89" s="2"/>
      <c r="AO89" s="17"/>
      <c r="AP89" s="17"/>
      <c r="AQ89" s="17"/>
      <c r="AR89" s="17"/>
      <c r="AS89" s="2"/>
      <c r="AT89" s="17"/>
      <c r="AU89" s="17"/>
      <c r="AV89" s="17"/>
      <c r="AW89" s="17"/>
      <c r="AX89" s="2"/>
      <c r="AY89" s="17"/>
      <c r="AZ89" s="17"/>
      <c r="BA89" s="17"/>
      <c r="BB89" s="2"/>
      <c r="BC89" s="17"/>
    </row>
    <row x14ac:dyDescent="0.25" r="90" customHeight="1" ht="18.75">
      <c r="A90" s="41">
        <f>ROW()-4</f>
      </c>
      <c r="B90" s="17"/>
      <c r="C90" s="17"/>
      <c r="D90" s="17"/>
      <c r="E90" s="4"/>
      <c r="F90" s="4"/>
      <c r="G90" s="41">
        <f>IF(OR(E90="",F90=""),"",E90-F90)</f>
      </c>
      <c r="H90" s="41">
        <f>IF(G90="","",IF(G90&gt;0,"Vencendo",IF(G90&lt;0,"Perdendo","Empatado")))</f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2"/>
      <c r="U90" s="17"/>
      <c r="V90" s="17"/>
      <c r="W90" s="17"/>
      <c r="X90" s="17"/>
      <c r="Y90" s="2"/>
      <c r="Z90" s="17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17"/>
      <c r="AL90" s="17"/>
      <c r="AM90" s="17"/>
      <c r="AN90" s="2"/>
      <c r="AO90" s="17"/>
      <c r="AP90" s="17"/>
      <c r="AQ90" s="17"/>
      <c r="AR90" s="17"/>
      <c r="AS90" s="2"/>
      <c r="AT90" s="17"/>
      <c r="AU90" s="17"/>
      <c r="AV90" s="17"/>
      <c r="AW90" s="17"/>
      <c r="AX90" s="2"/>
      <c r="AY90" s="17"/>
      <c r="AZ90" s="17"/>
      <c r="BA90" s="17"/>
      <c r="BB90" s="2"/>
      <c r="BC90" s="17"/>
    </row>
    <row x14ac:dyDescent="0.25" r="91" customHeight="1" ht="18.75">
      <c r="A91" s="41">
        <f>ROW()-4</f>
      </c>
      <c r="B91" s="17"/>
      <c r="C91" s="17"/>
      <c r="D91" s="17"/>
      <c r="E91" s="4"/>
      <c r="F91" s="4"/>
      <c r="G91" s="41">
        <f>IF(OR(E91="",F91=""),"",E91-F91)</f>
      </c>
      <c r="H91" s="41">
        <f>IF(G91="","",IF(G91&gt;0,"Vencendo",IF(G91&lt;0,"Perdendo","Empatado")))</f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2"/>
      <c r="U91" s="17"/>
      <c r="V91" s="17"/>
      <c r="W91" s="17"/>
      <c r="X91" s="17"/>
      <c r="Y91" s="2"/>
      <c r="Z91" s="17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17"/>
      <c r="AL91" s="17"/>
      <c r="AM91" s="17"/>
      <c r="AN91" s="2"/>
      <c r="AO91" s="17"/>
      <c r="AP91" s="17"/>
      <c r="AQ91" s="17"/>
      <c r="AR91" s="17"/>
      <c r="AS91" s="2"/>
      <c r="AT91" s="17"/>
      <c r="AU91" s="17"/>
      <c r="AV91" s="17"/>
      <c r="AW91" s="17"/>
      <c r="AX91" s="2"/>
      <c r="AY91" s="17"/>
      <c r="AZ91" s="17"/>
      <c r="BA91" s="17"/>
      <c r="BB91" s="2"/>
      <c r="BC91" s="17"/>
    </row>
    <row x14ac:dyDescent="0.25" r="92" customHeight="1" ht="18.75">
      <c r="A92" s="41">
        <f>ROW()-4</f>
      </c>
      <c r="B92" s="17"/>
      <c r="C92" s="17"/>
      <c r="D92" s="17"/>
      <c r="E92" s="4"/>
      <c r="F92" s="4"/>
      <c r="G92" s="41">
        <f>IF(OR(E92="",F92=""),"",E92-F92)</f>
      </c>
      <c r="H92" s="41">
        <f>IF(G92="","",IF(G92&gt;0,"Vencendo",IF(G92&lt;0,"Perdendo","Empatado")))</f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2"/>
      <c r="U92" s="17"/>
      <c r="V92" s="17"/>
      <c r="W92" s="17"/>
      <c r="X92" s="17"/>
      <c r="Y92" s="2"/>
      <c r="Z92" s="17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17"/>
      <c r="AL92" s="17"/>
      <c r="AM92" s="17"/>
      <c r="AN92" s="2"/>
      <c r="AO92" s="17"/>
      <c r="AP92" s="17"/>
      <c r="AQ92" s="17"/>
      <c r="AR92" s="17"/>
      <c r="AS92" s="2"/>
      <c r="AT92" s="17"/>
      <c r="AU92" s="17"/>
      <c r="AV92" s="17"/>
      <c r="AW92" s="17"/>
      <c r="AX92" s="2"/>
      <c r="AY92" s="17"/>
      <c r="AZ92" s="17"/>
      <c r="BA92" s="17"/>
      <c r="BB92" s="2"/>
      <c r="BC92" s="17"/>
    </row>
    <row x14ac:dyDescent="0.25" r="93" customHeight="1" ht="18.75">
      <c r="A93" s="41">
        <f>ROW()-4</f>
      </c>
      <c r="B93" s="17"/>
      <c r="C93" s="17"/>
      <c r="D93" s="17"/>
      <c r="E93" s="4"/>
      <c r="F93" s="4"/>
      <c r="G93" s="41">
        <f>IF(OR(E93="",F93=""),"",E93-F93)</f>
      </c>
      <c r="H93" s="41">
        <f>IF(G93="","",IF(G93&gt;0,"Vencendo",IF(G93&lt;0,"Perdendo","Empatado")))</f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2"/>
      <c r="U93" s="17"/>
      <c r="V93" s="17"/>
      <c r="W93" s="17"/>
      <c r="X93" s="17"/>
      <c r="Y93" s="2"/>
      <c r="Z93" s="17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17"/>
      <c r="AL93" s="17"/>
      <c r="AM93" s="17"/>
      <c r="AN93" s="2"/>
      <c r="AO93" s="17"/>
      <c r="AP93" s="17"/>
      <c r="AQ93" s="17"/>
      <c r="AR93" s="17"/>
      <c r="AS93" s="2"/>
      <c r="AT93" s="17"/>
      <c r="AU93" s="17"/>
      <c r="AV93" s="17"/>
      <c r="AW93" s="17"/>
      <c r="AX93" s="2"/>
      <c r="AY93" s="17"/>
      <c r="AZ93" s="17"/>
      <c r="BA93" s="17"/>
      <c r="BB93" s="2"/>
      <c r="BC93" s="17"/>
    </row>
    <row x14ac:dyDescent="0.25" r="94" customHeight="1" ht="18.75">
      <c r="A94" s="41">
        <f>ROW()-4</f>
      </c>
      <c r="B94" s="17"/>
      <c r="C94" s="17"/>
      <c r="D94" s="17"/>
      <c r="E94" s="4"/>
      <c r="F94" s="4"/>
      <c r="G94" s="41">
        <f>IF(OR(E94="",F94=""),"",E94-F94)</f>
      </c>
      <c r="H94" s="41">
        <f>IF(G94="","",IF(G94&gt;0,"Vencendo",IF(G94&lt;0,"Perdendo","Empatado")))</f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2"/>
      <c r="U94" s="17"/>
      <c r="V94" s="17"/>
      <c r="W94" s="17"/>
      <c r="X94" s="17"/>
      <c r="Y94" s="2"/>
      <c r="Z94" s="17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17"/>
      <c r="AL94" s="17"/>
      <c r="AM94" s="17"/>
      <c r="AN94" s="2"/>
      <c r="AO94" s="17"/>
      <c r="AP94" s="17"/>
      <c r="AQ94" s="17"/>
      <c r="AR94" s="17"/>
      <c r="AS94" s="2"/>
      <c r="AT94" s="17"/>
      <c r="AU94" s="17"/>
      <c r="AV94" s="17"/>
      <c r="AW94" s="17"/>
      <c r="AX94" s="2"/>
      <c r="AY94" s="17"/>
      <c r="AZ94" s="17"/>
      <c r="BA94" s="17"/>
      <c r="BB94" s="2"/>
      <c r="BC94" s="17"/>
    </row>
    <row x14ac:dyDescent="0.25" r="95" customHeight="1" ht="18.75">
      <c r="A95" s="41">
        <f>ROW()-4</f>
      </c>
      <c r="B95" s="17"/>
      <c r="C95" s="17"/>
      <c r="D95" s="17"/>
      <c r="E95" s="4"/>
      <c r="F95" s="4"/>
      <c r="G95" s="41">
        <f>IF(OR(E95="",F95=""),"",E95-F95)</f>
      </c>
      <c r="H95" s="41">
        <f>IF(G95="","",IF(G95&gt;0,"Vencendo",IF(G95&lt;0,"Perdendo","Empatado")))</f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2"/>
      <c r="U95" s="17"/>
      <c r="V95" s="17"/>
      <c r="W95" s="17"/>
      <c r="X95" s="17"/>
      <c r="Y95" s="2"/>
      <c r="Z95" s="17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17"/>
      <c r="AL95" s="17"/>
      <c r="AM95" s="17"/>
      <c r="AN95" s="2"/>
      <c r="AO95" s="17"/>
      <c r="AP95" s="17"/>
      <c r="AQ95" s="17"/>
      <c r="AR95" s="17"/>
      <c r="AS95" s="2"/>
      <c r="AT95" s="17"/>
      <c r="AU95" s="17"/>
      <c r="AV95" s="17"/>
      <c r="AW95" s="17"/>
      <c r="AX95" s="2"/>
      <c r="AY95" s="17"/>
      <c r="AZ95" s="17"/>
      <c r="BA95" s="17"/>
      <c r="BB95" s="2"/>
      <c r="BC95" s="17"/>
    </row>
    <row x14ac:dyDescent="0.25" r="96" customHeight="1" ht="18.75">
      <c r="A96" s="41">
        <f>ROW()-4</f>
      </c>
      <c r="B96" s="17"/>
      <c r="C96" s="17"/>
      <c r="D96" s="17"/>
      <c r="E96" s="4"/>
      <c r="F96" s="4"/>
      <c r="G96" s="41">
        <f>IF(OR(E96="",F96=""),"",E96-F96)</f>
      </c>
      <c r="H96" s="41">
        <f>IF(G96="","",IF(G96&gt;0,"Vencendo",IF(G96&lt;0,"Perdendo","Empatado")))</f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2"/>
      <c r="U96" s="17"/>
      <c r="V96" s="17"/>
      <c r="W96" s="17"/>
      <c r="X96" s="17"/>
      <c r="Y96" s="2"/>
      <c r="Z96" s="17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17"/>
      <c r="AL96" s="17"/>
      <c r="AM96" s="17"/>
      <c r="AN96" s="2"/>
      <c r="AO96" s="17"/>
      <c r="AP96" s="17"/>
      <c r="AQ96" s="17"/>
      <c r="AR96" s="17"/>
      <c r="AS96" s="2"/>
      <c r="AT96" s="17"/>
      <c r="AU96" s="17"/>
      <c r="AV96" s="17"/>
      <c r="AW96" s="17"/>
      <c r="AX96" s="2"/>
      <c r="AY96" s="17"/>
      <c r="AZ96" s="17"/>
      <c r="BA96" s="17"/>
      <c r="BB96" s="2"/>
      <c r="BC96" s="17"/>
    </row>
    <row x14ac:dyDescent="0.25" r="97" customHeight="1" ht="18.75">
      <c r="A97" s="41">
        <f>ROW()-4</f>
      </c>
      <c r="B97" s="17"/>
      <c r="C97" s="17"/>
      <c r="D97" s="17"/>
      <c r="E97" s="4"/>
      <c r="F97" s="4"/>
      <c r="G97" s="41">
        <f>IF(OR(E97="",F97=""),"",E97-F97)</f>
      </c>
      <c r="H97" s="41">
        <f>IF(G97="","",IF(G97&gt;0,"Vencendo",IF(G97&lt;0,"Perdendo","Empatado")))</f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2"/>
      <c r="U97" s="17"/>
      <c r="V97" s="17"/>
      <c r="W97" s="17"/>
      <c r="X97" s="17"/>
      <c r="Y97" s="2"/>
      <c r="Z97" s="17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17"/>
      <c r="AL97" s="17"/>
      <c r="AM97" s="17"/>
      <c r="AN97" s="2"/>
      <c r="AO97" s="17"/>
      <c r="AP97" s="17"/>
      <c r="AQ97" s="17"/>
      <c r="AR97" s="17"/>
      <c r="AS97" s="2"/>
      <c r="AT97" s="17"/>
      <c r="AU97" s="17"/>
      <c r="AV97" s="17"/>
      <c r="AW97" s="17"/>
      <c r="AX97" s="2"/>
      <c r="AY97" s="17"/>
      <c r="AZ97" s="17"/>
      <c r="BA97" s="17"/>
      <c r="BB97" s="2"/>
      <c r="BC97" s="17"/>
    </row>
    <row x14ac:dyDescent="0.25" r="98" customHeight="1" ht="18.75">
      <c r="A98" s="41">
        <f>ROW()-4</f>
      </c>
      <c r="B98" s="17"/>
      <c r="C98" s="17"/>
      <c r="D98" s="17"/>
      <c r="E98" s="4"/>
      <c r="F98" s="4"/>
      <c r="G98" s="41">
        <f>IF(OR(E98="",F98=""),"",E98-F98)</f>
      </c>
      <c r="H98" s="41">
        <f>IF(G98="","",IF(G98&gt;0,"Vencendo",IF(G98&lt;0,"Perdendo","Empatado")))</f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2"/>
      <c r="U98" s="17"/>
      <c r="V98" s="17"/>
      <c r="W98" s="17"/>
      <c r="X98" s="17"/>
      <c r="Y98" s="2"/>
      <c r="Z98" s="17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17"/>
      <c r="AL98" s="17"/>
      <c r="AM98" s="17"/>
      <c r="AN98" s="2"/>
      <c r="AO98" s="17"/>
      <c r="AP98" s="17"/>
      <c r="AQ98" s="17"/>
      <c r="AR98" s="17"/>
      <c r="AS98" s="2"/>
      <c r="AT98" s="17"/>
      <c r="AU98" s="17"/>
      <c r="AV98" s="17"/>
      <c r="AW98" s="17"/>
      <c r="AX98" s="2"/>
      <c r="AY98" s="17"/>
      <c r="AZ98" s="17"/>
      <c r="BA98" s="17"/>
      <c r="BB98" s="2"/>
      <c r="BC98" s="17"/>
    </row>
    <row x14ac:dyDescent="0.25" r="99" customHeight="1" ht="18.75">
      <c r="A99" s="41">
        <f>ROW()-4</f>
      </c>
      <c r="B99" s="17"/>
      <c r="C99" s="17"/>
      <c r="D99" s="17"/>
      <c r="E99" s="4"/>
      <c r="F99" s="4"/>
      <c r="G99" s="41">
        <f>IF(OR(E99="",F99=""),"",E99-F99)</f>
      </c>
      <c r="H99" s="41">
        <f>IF(G99="","",IF(G99&gt;0,"Vencendo",IF(G99&lt;0,"Perdendo","Empatado")))</f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2"/>
      <c r="U99" s="17"/>
      <c r="V99" s="17"/>
      <c r="W99" s="17"/>
      <c r="X99" s="17"/>
      <c r="Y99" s="2"/>
      <c r="Z99" s="17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17"/>
      <c r="AL99" s="17"/>
      <c r="AM99" s="17"/>
      <c r="AN99" s="2"/>
      <c r="AO99" s="17"/>
      <c r="AP99" s="17"/>
      <c r="AQ99" s="17"/>
      <c r="AR99" s="17"/>
      <c r="AS99" s="2"/>
      <c r="AT99" s="17"/>
      <c r="AU99" s="17"/>
      <c r="AV99" s="17"/>
      <c r="AW99" s="17"/>
      <c r="AX99" s="2"/>
      <c r="AY99" s="17"/>
      <c r="AZ99" s="17"/>
      <c r="BA99" s="17"/>
      <c r="BB99" s="2"/>
      <c r="BC99" s="17"/>
    </row>
    <row x14ac:dyDescent="0.25" r="100" customHeight="1" ht="18.75">
      <c r="A100" s="41">
        <f>ROW()-4</f>
      </c>
      <c r="B100" s="17"/>
      <c r="C100" s="17"/>
      <c r="D100" s="17"/>
      <c r="E100" s="4"/>
      <c r="F100" s="4"/>
      <c r="G100" s="41">
        <f>IF(OR(E100="",F100=""),"",E100-F100)</f>
      </c>
      <c r="H100" s="41">
        <f>IF(G100="","",IF(G100&gt;0,"Vencendo",IF(G100&lt;0,"Perdendo","Empatado")))</f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2"/>
      <c r="U100" s="17"/>
      <c r="V100" s="17"/>
      <c r="W100" s="17"/>
      <c r="X100" s="17"/>
      <c r="Y100" s="2"/>
      <c r="Z100" s="17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17"/>
      <c r="AL100" s="17"/>
      <c r="AM100" s="17"/>
      <c r="AN100" s="2"/>
      <c r="AO100" s="17"/>
      <c r="AP100" s="17"/>
      <c r="AQ100" s="17"/>
      <c r="AR100" s="17"/>
      <c r="AS100" s="2"/>
      <c r="AT100" s="17"/>
      <c r="AU100" s="17"/>
      <c r="AV100" s="17"/>
      <c r="AW100" s="17"/>
      <c r="AX100" s="2"/>
      <c r="AY100" s="17"/>
      <c r="AZ100" s="17"/>
      <c r="BA100" s="17"/>
      <c r="BB100" s="2"/>
      <c r="BC100" s="17"/>
    </row>
    <row x14ac:dyDescent="0.25" r="101" customHeight="1" ht="18.75">
      <c r="A101" s="41">
        <f>ROW()-4</f>
      </c>
      <c r="B101" s="17"/>
      <c r="C101" s="17"/>
      <c r="D101" s="17"/>
      <c r="E101" s="4"/>
      <c r="F101" s="4"/>
      <c r="G101" s="41">
        <f>IF(OR(E101="",F101=""),"",E101-F101)</f>
      </c>
      <c r="H101" s="41">
        <f>IF(G101="","",IF(G101&gt;0,"Vencendo",IF(G101&lt;0,"Perdendo","Empatado")))</f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2"/>
      <c r="U101" s="17"/>
      <c r="V101" s="17"/>
      <c r="W101" s="17"/>
      <c r="X101" s="17"/>
      <c r="Y101" s="2"/>
      <c r="Z101" s="17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17"/>
      <c r="AL101" s="17"/>
      <c r="AM101" s="17"/>
      <c r="AN101" s="2"/>
      <c r="AO101" s="17"/>
      <c r="AP101" s="17"/>
      <c r="AQ101" s="17"/>
      <c r="AR101" s="17"/>
      <c r="AS101" s="2"/>
      <c r="AT101" s="17"/>
      <c r="AU101" s="17"/>
      <c r="AV101" s="17"/>
      <c r="AW101" s="17"/>
      <c r="AX101" s="2"/>
      <c r="AY101" s="17"/>
      <c r="AZ101" s="17"/>
      <c r="BA101" s="17"/>
      <c r="BB101" s="2"/>
      <c r="BC101" s="17"/>
    </row>
    <row x14ac:dyDescent="0.25" r="102" customHeight="1" ht="18.75">
      <c r="A102" s="41">
        <f>ROW()-4</f>
      </c>
      <c r="B102" s="17"/>
      <c r="C102" s="17"/>
      <c r="D102" s="17"/>
      <c r="E102" s="4"/>
      <c r="F102" s="4"/>
      <c r="G102" s="41">
        <f>IF(OR(E102="",F102=""),"",E102-F102)</f>
      </c>
      <c r="H102" s="41">
        <f>IF(G102="","",IF(G102&gt;0,"Vencendo",IF(G102&lt;0,"Perdendo","Empatado")))</f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2"/>
      <c r="U102" s="17"/>
      <c r="V102" s="17"/>
      <c r="W102" s="17"/>
      <c r="X102" s="17"/>
      <c r="Y102" s="2"/>
      <c r="Z102" s="17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17"/>
      <c r="AL102" s="17"/>
      <c r="AM102" s="17"/>
      <c r="AN102" s="2"/>
      <c r="AO102" s="17"/>
      <c r="AP102" s="17"/>
      <c r="AQ102" s="17"/>
      <c r="AR102" s="17"/>
      <c r="AS102" s="2"/>
      <c r="AT102" s="17"/>
      <c r="AU102" s="17"/>
      <c r="AV102" s="17"/>
      <c r="AW102" s="17"/>
      <c r="AX102" s="2"/>
      <c r="AY102" s="17"/>
      <c r="AZ102" s="17"/>
      <c r="BA102" s="17"/>
      <c r="BB102" s="2"/>
      <c r="BC102" s="17"/>
    </row>
    <row x14ac:dyDescent="0.25" r="103" customHeight="1" ht="18.75">
      <c r="A103" s="41">
        <f>ROW()-4</f>
      </c>
      <c r="B103" s="17"/>
      <c r="C103" s="17"/>
      <c r="D103" s="17"/>
      <c r="E103" s="4"/>
      <c r="F103" s="4"/>
      <c r="G103" s="41">
        <f>IF(OR(E103="",F103=""),"",E103-F103)</f>
      </c>
      <c r="H103" s="41">
        <f>IF(G103="","",IF(G103&gt;0,"Vencendo",IF(G103&lt;0,"Perdendo","Empatado")))</f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2"/>
      <c r="U103" s="17"/>
      <c r="V103" s="17"/>
      <c r="W103" s="17"/>
      <c r="X103" s="17"/>
      <c r="Y103" s="2"/>
      <c r="Z103" s="17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17"/>
      <c r="AL103" s="17"/>
      <c r="AM103" s="17"/>
      <c r="AN103" s="2"/>
      <c r="AO103" s="17"/>
      <c r="AP103" s="17"/>
      <c r="AQ103" s="17"/>
      <c r="AR103" s="17"/>
      <c r="AS103" s="2"/>
      <c r="AT103" s="17"/>
      <c r="AU103" s="17"/>
      <c r="AV103" s="17"/>
      <c r="AW103" s="17"/>
      <c r="AX103" s="2"/>
      <c r="AY103" s="17"/>
      <c r="AZ103" s="17"/>
      <c r="BA103" s="17"/>
      <c r="BB103" s="2"/>
      <c r="BC103" s="17"/>
    </row>
    <row x14ac:dyDescent="0.25" r="104" customHeight="1" ht="18.75">
      <c r="A104" s="41">
        <f>ROW()-4</f>
      </c>
      <c r="B104" s="17"/>
      <c r="C104" s="17"/>
      <c r="D104" s="17"/>
      <c r="E104" s="4"/>
      <c r="F104" s="4"/>
      <c r="G104" s="41">
        <f>IF(OR(E104="",F104=""),"",E104-F104)</f>
      </c>
      <c r="H104" s="41">
        <f>IF(G104="","",IF(G104&gt;0,"Vencendo",IF(G104&lt;0,"Perdendo","Empatado")))</f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2"/>
      <c r="U104" s="17"/>
      <c r="V104" s="17"/>
      <c r="W104" s="17"/>
      <c r="X104" s="17"/>
      <c r="Y104" s="2"/>
      <c r="Z104" s="17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17"/>
      <c r="AL104" s="17"/>
      <c r="AM104" s="17"/>
      <c r="AN104" s="2"/>
      <c r="AO104" s="17"/>
      <c r="AP104" s="17"/>
      <c r="AQ104" s="17"/>
      <c r="AR104" s="17"/>
      <c r="AS104" s="2"/>
      <c r="AT104" s="17"/>
      <c r="AU104" s="17"/>
      <c r="AV104" s="17"/>
      <c r="AW104" s="17"/>
      <c r="AX104" s="2"/>
      <c r="AY104" s="17"/>
      <c r="AZ104" s="17"/>
      <c r="BA104" s="17"/>
      <c r="BB104" s="2"/>
      <c r="BC104" s="17"/>
    </row>
  </sheetData>
  <mergeCells count="2">
    <mergeCell ref="A1:BC1"/>
    <mergeCell ref="A2:BC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4" width="14.005" customWidth="1" bestFit="1"/>
    <col min="2" max="2" style="24" width="26.005" customWidth="1" bestFit="1"/>
    <col min="3" max="3" style="24" width="23.005" customWidth="1" bestFit="1"/>
    <col min="4" max="4" style="24" width="14.005" customWidth="1" bestFit="1"/>
    <col min="5" max="5" style="24" width="30.005" customWidth="1" bestFit="1"/>
    <col min="6" max="6" style="24" width="60.14785714285715" customWidth="1" bestFit="1"/>
    <col min="7" max="7" style="24" width="47.29071428571429" customWidth="1" bestFit="1"/>
    <col min="8" max="8" style="24" width="24.576428571428572" customWidth="1" bestFit="1"/>
    <col min="9" max="9" style="24" width="13.576428571428572" customWidth="1" bestFit="1"/>
    <col min="10" max="10" style="24" width="19.005" customWidth="1" bestFit="1"/>
    <col min="11" max="11" style="24" width="18.005" customWidth="1" bestFit="1"/>
    <col min="12" max="12" style="24" width="30.005" customWidth="1" bestFit="1"/>
    <col min="13" max="13" style="24" width="21.005" customWidth="1" bestFit="1"/>
    <col min="14" max="14" style="24" width="27.719285714285714" customWidth="1" bestFit="1"/>
    <col min="15" max="15" style="24" width="45.005" customWidth="1" bestFit="1"/>
    <col min="16" max="16" style="24" width="41.43357142857143" customWidth="1" bestFit="1"/>
    <col min="17" max="17" style="24" width="53.29071428571429" customWidth="1" bestFit="1"/>
    <col min="18" max="18" style="24" width="20.005" customWidth="1" bestFit="1"/>
    <col min="19" max="19" style="34" width="52.005" customWidth="1" bestFit="1"/>
    <col min="20" max="20" style="24" width="33.005" customWidth="1" bestFit="1"/>
    <col min="21" max="21" style="24" width="33.005" customWidth="1" bestFit="1"/>
    <col min="22" max="22" style="24" width="23.005" customWidth="1" bestFit="1"/>
    <col min="23" max="23" style="24" width="23.005" customWidth="1" bestFit="1"/>
    <col min="24" max="24" style="24" width="14.005" customWidth="1" bestFit="1"/>
    <col min="25" max="25" style="24" width="14.005" customWidth="1" bestFit="1"/>
  </cols>
  <sheetData>
    <row x14ac:dyDescent="0.25" r="1" customHeight="1" ht="18.75">
      <c r="A1" s="32" t="s">
        <v>99</v>
      </c>
      <c r="B1" s="32" t="s">
        <v>114</v>
      </c>
      <c r="C1" s="32" t="s">
        <v>115</v>
      </c>
      <c r="D1" s="32" t="s">
        <v>116</v>
      </c>
      <c r="E1" s="32" t="s">
        <v>117</v>
      </c>
      <c r="F1" s="32" t="s">
        <v>118</v>
      </c>
      <c r="G1" s="32" t="s">
        <v>119</v>
      </c>
      <c r="H1" s="32" t="s">
        <v>120</v>
      </c>
      <c r="I1" s="32" t="s">
        <v>121</v>
      </c>
      <c r="J1" s="32" t="s">
        <v>122</v>
      </c>
      <c r="K1" s="32" t="s">
        <v>123</v>
      </c>
      <c r="L1" s="32" t="s">
        <v>124</v>
      </c>
      <c r="M1" s="32" t="s">
        <v>125</v>
      </c>
      <c r="N1" s="17" t="s">
        <v>125</v>
      </c>
      <c r="O1" s="32" t="s">
        <v>126</v>
      </c>
      <c r="P1" s="32" t="s">
        <v>127</v>
      </c>
      <c r="Q1" s="17" t="s">
        <v>128</v>
      </c>
      <c r="R1" s="17" t="s">
        <v>129</v>
      </c>
      <c r="S1" s="32" t="s">
        <v>130</v>
      </c>
      <c r="T1" s="32" t="s">
        <v>131</v>
      </c>
      <c r="U1" s="32" t="s">
        <v>132</v>
      </c>
      <c r="V1" s="32" t="s">
        <v>133</v>
      </c>
      <c r="W1" s="32" t="s">
        <v>134</v>
      </c>
      <c r="X1" s="32" t="s">
        <v>135</v>
      </c>
      <c r="Y1" s="32" t="s">
        <v>58</v>
      </c>
    </row>
    <row x14ac:dyDescent="0.25" r="2" customHeight="1" ht="18.75">
      <c r="A2" s="33" t="s">
        <v>136</v>
      </c>
      <c r="B2" s="33" t="s">
        <v>137</v>
      </c>
      <c r="C2" s="33" t="s">
        <v>138</v>
      </c>
      <c r="D2" s="33" t="s">
        <v>138</v>
      </c>
      <c r="E2" s="33" t="s">
        <v>89</v>
      </c>
      <c r="F2" s="33" t="s">
        <v>139</v>
      </c>
      <c r="G2" s="33" t="s">
        <v>140</v>
      </c>
      <c r="H2" s="33" t="s">
        <v>141</v>
      </c>
      <c r="I2" s="17"/>
      <c r="J2" s="33" t="s">
        <v>71</v>
      </c>
      <c r="K2" s="33" t="s">
        <v>82</v>
      </c>
      <c r="L2" s="33" t="s">
        <v>141</v>
      </c>
      <c r="M2" s="33" t="s">
        <v>142</v>
      </c>
      <c r="N2" s="17" t="s">
        <v>142</v>
      </c>
      <c r="O2" s="33" t="s">
        <v>143</v>
      </c>
      <c r="P2" s="33" t="s">
        <v>144</v>
      </c>
      <c r="Q2" s="17" t="s">
        <v>145</v>
      </c>
      <c r="R2" s="17" t="s">
        <v>146</v>
      </c>
      <c r="S2" s="33" t="s">
        <v>147</v>
      </c>
      <c r="T2" s="33" t="s">
        <v>148</v>
      </c>
      <c r="U2" s="33"/>
      <c r="V2" s="33" t="s">
        <v>149</v>
      </c>
      <c r="W2" s="33" t="s">
        <v>150</v>
      </c>
      <c r="X2" s="33" t="s">
        <v>151</v>
      </c>
      <c r="Y2" s="33" t="s">
        <v>152</v>
      </c>
    </row>
    <row x14ac:dyDescent="0.25" r="3" customHeight="1" ht="18.75">
      <c r="A3" s="33" t="s">
        <v>153</v>
      </c>
      <c r="B3" s="33" t="s">
        <v>154</v>
      </c>
      <c r="C3" s="33" t="s">
        <v>155</v>
      </c>
      <c r="D3" s="33" t="s">
        <v>101</v>
      </c>
      <c r="E3" s="33" t="s">
        <v>90</v>
      </c>
      <c r="F3" s="33" t="s">
        <v>156</v>
      </c>
      <c r="G3" s="33" t="s">
        <v>156</v>
      </c>
      <c r="H3" s="33" t="s">
        <v>157</v>
      </c>
      <c r="I3" s="17"/>
      <c r="J3" s="33" t="s">
        <v>72</v>
      </c>
      <c r="K3" s="33" t="s">
        <v>83</v>
      </c>
      <c r="L3" s="33" t="s">
        <v>157</v>
      </c>
      <c r="M3" s="33" t="s">
        <v>158</v>
      </c>
      <c r="N3" s="17" t="s">
        <v>158</v>
      </c>
      <c r="O3" s="33" t="s">
        <v>159</v>
      </c>
      <c r="P3" s="33" t="s">
        <v>160</v>
      </c>
      <c r="Q3" s="17" t="s">
        <v>161</v>
      </c>
      <c r="R3" s="17" t="s">
        <v>146</v>
      </c>
      <c r="S3" s="33" t="s">
        <v>162</v>
      </c>
      <c r="T3" s="33" t="s">
        <v>163</v>
      </c>
      <c r="U3" s="33" t="s">
        <v>164</v>
      </c>
      <c r="V3" s="33" t="s">
        <v>165</v>
      </c>
      <c r="W3" s="33" t="s">
        <v>6</v>
      </c>
      <c r="X3" s="33" t="s">
        <v>166</v>
      </c>
      <c r="Y3" s="33" t="s">
        <v>167</v>
      </c>
    </row>
    <row x14ac:dyDescent="0.25" r="4" customHeight="1" ht="18.75">
      <c r="A4" s="33" t="s">
        <v>168</v>
      </c>
      <c r="B4" s="33" t="s">
        <v>169</v>
      </c>
      <c r="C4" s="33" t="s">
        <v>170</v>
      </c>
      <c r="D4" s="17"/>
      <c r="E4" s="33" t="s">
        <v>171</v>
      </c>
      <c r="F4" s="33" t="s">
        <v>172</v>
      </c>
      <c r="G4" s="33" t="s">
        <v>172</v>
      </c>
      <c r="H4" s="33" t="s">
        <v>173</v>
      </c>
      <c r="I4" s="17"/>
      <c r="J4" s="33" t="s">
        <v>73</v>
      </c>
      <c r="K4" s="17"/>
      <c r="L4" s="33" t="s">
        <v>173</v>
      </c>
      <c r="M4" s="33" t="s">
        <v>174</v>
      </c>
      <c r="N4" s="17" t="s">
        <v>174</v>
      </c>
      <c r="O4" s="33" t="s">
        <v>175</v>
      </c>
      <c r="P4" s="33" t="s">
        <v>176</v>
      </c>
      <c r="Q4" s="17" t="s">
        <v>177</v>
      </c>
      <c r="R4" s="17" t="s">
        <v>146</v>
      </c>
      <c r="S4" s="33" t="s">
        <v>178</v>
      </c>
      <c r="T4" s="33" t="s">
        <v>179</v>
      </c>
      <c r="U4" s="33" t="s">
        <v>180</v>
      </c>
      <c r="V4" s="33" t="s">
        <v>181</v>
      </c>
      <c r="W4" s="33" t="s">
        <v>182</v>
      </c>
      <c r="X4" s="33" t="s">
        <v>183</v>
      </c>
      <c r="Y4" s="17"/>
    </row>
    <row x14ac:dyDescent="0.25" r="5" customHeight="1" ht="18.75">
      <c r="A5" s="33" t="s">
        <v>184</v>
      </c>
      <c r="B5" s="33" t="s">
        <v>168</v>
      </c>
      <c r="C5" s="33" t="s">
        <v>185</v>
      </c>
      <c r="D5" s="17"/>
      <c r="E5" s="33" t="s">
        <v>186</v>
      </c>
      <c r="F5" s="33" t="s">
        <v>187</v>
      </c>
      <c r="G5" s="33" t="s">
        <v>187</v>
      </c>
      <c r="H5" s="33" t="s">
        <v>188</v>
      </c>
      <c r="I5" s="17"/>
      <c r="J5" s="33" t="s">
        <v>74</v>
      </c>
      <c r="K5" s="17"/>
      <c r="L5" s="33" t="s">
        <v>188</v>
      </c>
      <c r="M5" s="33" t="s">
        <v>189</v>
      </c>
      <c r="N5" s="17" t="s">
        <v>189</v>
      </c>
      <c r="O5" s="33" t="s">
        <v>190</v>
      </c>
      <c r="P5" s="33" t="s">
        <v>191</v>
      </c>
      <c r="Q5" s="17" t="s">
        <v>192</v>
      </c>
      <c r="R5" s="17" t="s">
        <v>146</v>
      </c>
      <c r="S5" s="33" t="s">
        <v>193</v>
      </c>
      <c r="T5" s="33" t="s">
        <v>194</v>
      </c>
      <c r="U5" s="33" t="s">
        <v>195</v>
      </c>
      <c r="V5" s="33" t="s">
        <v>196</v>
      </c>
      <c r="W5" s="33" t="s">
        <v>10</v>
      </c>
      <c r="X5" s="33" t="s">
        <v>58</v>
      </c>
      <c r="Y5" s="17"/>
    </row>
    <row x14ac:dyDescent="0.25" r="6" customHeight="1" ht="18.75">
      <c r="A6" s="17"/>
      <c r="B6" s="33" t="s">
        <v>197</v>
      </c>
      <c r="C6" s="33" t="s">
        <v>198</v>
      </c>
      <c r="D6" s="17"/>
      <c r="E6" s="33" t="s">
        <v>95</v>
      </c>
      <c r="F6" s="33" t="s">
        <v>199</v>
      </c>
      <c r="G6" s="33" t="s">
        <v>199</v>
      </c>
      <c r="H6" s="33" t="s">
        <v>200</v>
      </c>
      <c r="I6" s="17"/>
      <c r="J6" s="33" t="s">
        <v>75</v>
      </c>
      <c r="K6" s="17"/>
      <c r="L6" s="33" t="s">
        <v>200</v>
      </c>
      <c r="M6" s="17" t="s">
        <v>201</v>
      </c>
      <c r="N6" s="17" t="s">
        <v>201</v>
      </c>
      <c r="O6" s="33" t="s">
        <v>202</v>
      </c>
      <c r="P6" s="33" t="s">
        <v>203</v>
      </c>
      <c r="Q6" s="17" t="s">
        <v>204</v>
      </c>
      <c r="R6" s="17" t="s">
        <v>205</v>
      </c>
      <c r="S6" s="33" t="s">
        <v>206</v>
      </c>
      <c r="T6" s="33" t="s">
        <v>207</v>
      </c>
      <c r="U6" s="33" t="s">
        <v>208</v>
      </c>
      <c r="V6" s="33" t="s">
        <v>209</v>
      </c>
      <c r="W6" s="33" t="s">
        <v>210</v>
      </c>
      <c r="X6" s="17"/>
      <c r="Y6" s="17"/>
    </row>
    <row x14ac:dyDescent="0.25" r="7" customHeight="1" ht="18.75">
      <c r="A7" s="17"/>
      <c r="B7" s="33" t="s">
        <v>211</v>
      </c>
      <c r="C7" s="33" t="s">
        <v>212</v>
      </c>
      <c r="D7" s="17"/>
      <c r="E7" s="33" t="s">
        <v>213</v>
      </c>
      <c r="F7" s="33" t="s">
        <v>214</v>
      </c>
      <c r="G7" s="33" t="s">
        <v>214</v>
      </c>
      <c r="H7" s="33" t="s">
        <v>215</v>
      </c>
      <c r="I7" s="17"/>
      <c r="J7" s="33" t="s">
        <v>76</v>
      </c>
      <c r="K7" s="17"/>
      <c r="L7" s="33" t="s">
        <v>215</v>
      </c>
      <c r="M7" s="17"/>
      <c r="N7" s="17"/>
      <c r="O7" s="33" t="s">
        <v>216</v>
      </c>
      <c r="P7" s="33" t="s">
        <v>217</v>
      </c>
      <c r="Q7" s="17" t="s">
        <v>218</v>
      </c>
      <c r="R7" s="17" t="s">
        <v>205</v>
      </c>
      <c r="S7" s="33" t="s">
        <v>219</v>
      </c>
      <c r="T7" s="33" t="s">
        <v>220</v>
      </c>
      <c r="U7" s="33" t="s">
        <v>221</v>
      </c>
      <c r="V7" s="33" t="s">
        <v>222</v>
      </c>
      <c r="W7" s="33" t="s">
        <v>223</v>
      </c>
      <c r="X7" s="17"/>
      <c r="Y7" s="17"/>
    </row>
    <row x14ac:dyDescent="0.25" r="8" customHeight="1" ht="18.75">
      <c r="A8" s="17"/>
      <c r="B8" s="33"/>
      <c r="C8" s="33" t="s">
        <v>224</v>
      </c>
      <c r="D8" s="17"/>
      <c r="E8" s="33"/>
      <c r="F8" s="33" t="s">
        <v>225</v>
      </c>
      <c r="G8" s="33" t="s">
        <v>225</v>
      </c>
      <c r="H8" s="33" t="s">
        <v>226</v>
      </c>
      <c r="I8" s="17"/>
      <c r="J8" s="33" t="s">
        <v>77</v>
      </c>
      <c r="K8" s="17"/>
      <c r="L8" s="33" t="s">
        <v>226</v>
      </c>
      <c r="M8" s="17"/>
      <c r="N8" s="17"/>
      <c r="O8" s="17" t="s">
        <v>227</v>
      </c>
      <c r="P8" s="33" t="s">
        <v>228</v>
      </c>
      <c r="Q8" s="17" t="s">
        <v>229</v>
      </c>
      <c r="R8" s="17"/>
      <c r="S8" s="33" t="s">
        <v>230</v>
      </c>
      <c r="T8" s="33" t="s">
        <v>231</v>
      </c>
      <c r="U8" s="33" t="s">
        <v>232</v>
      </c>
      <c r="V8" s="33" t="s">
        <v>233</v>
      </c>
      <c r="W8" s="33" t="s">
        <v>234</v>
      </c>
      <c r="X8" s="17"/>
      <c r="Y8" s="17"/>
    </row>
    <row x14ac:dyDescent="0.25" r="9" customHeight="1" ht="18.75">
      <c r="A9" s="17"/>
      <c r="B9" s="33"/>
      <c r="C9" s="33" t="s">
        <v>235</v>
      </c>
      <c r="D9" s="17"/>
      <c r="E9" s="33"/>
      <c r="F9" s="33" t="s">
        <v>236</v>
      </c>
      <c r="G9" s="33" t="s">
        <v>236</v>
      </c>
      <c r="H9" s="33" t="s">
        <v>237</v>
      </c>
      <c r="I9" s="17"/>
      <c r="J9" s="33" t="s">
        <v>78</v>
      </c>
      <c r="K9" s="17"/>
      <c r="L9" s="33" t="s">
        <v>237</v>
      </c>
      <c r="M9" s="17"/>
      <c r="N9" s="17"/>
      <c r="O9" s="17" t="s">
        <v>238</v>
      </c>
      <c r="P9" s="33" t="s">
        <v>239</v>
      </c>
      <c r="Q9" s="17" t="s">
        <v>240</v>
      </c>
      <c r="R9" s="17"/>
      <c r="S9" s="33" t="s">
        <v>241</v>
      </c>
      <c r="T9" s="33" t="s">
        <v>242</v>
      </c>
      <c r="U9" s="33" t="s">
        <v>243</v>
      </c>
      <c r="V9" s="33" t="s">
        <v>244</v>
      </c>
      <c r="W9" s="33" t="s">
        <v>58</v>
      </c>
      <c r="X9" s="17"/>
      <c r="Y9" s="17"/>
    </row>
    <row x14ac:dyDescent="0.25" r="10" customHeight="1" ht="18.75">
      <c r="A10" s="17"/>
      <c r="B10" s="17"/>
      <c r="C10" s="33" t="s">
        <v>245</v>
      </c>
      <c r="D10" s="17"/>
      <c r="E10" s="17"/>
      <c r="F10" s="33" t="s">
        <v>246</v>
      </c>
      <c r="G10" s="33" t="s">
        <v>246</v>
      </c>
      <c r="H10" s="33" t="s">
        <v>247</v>
      </c>
      <c r="I10" s="17"/>
      <c r="J10" s="33" t="s">
        <v>79</v>
      </c>
      <c r="K10" s="17"/>
      <c r="L10" s="33" t="s">
        <v>247</v>
      </c>
      <c r="M10" s="17"/>
      <c r="N10" s="17"/>
      <c r="O10" s="17" t="s">
        <v>248</v>
      </c>
      <c r="P10" s="33" t="s">
        <v>249</v>
      </c>
      <c r="Q10" s="17" t="s">
        <v>250</v>
      </c>
      <c r="R10" s="17" t="s">
        <v>205</v>
      </c>
      <c r="S10" s="33" t="s">
        <v>251</v>
      </c>
      <c r="T10" s="33" t="s">
        <v>243</v>
      </c>
      <c r="U10" s="33" t="s">
        <v>252</v>
      </c>
      <c r="V10" s="33" t="s">
        <v>253</v>
      </c>
      <c r="W10" s="17"/>
      <c r="X10" s="17"/>
      <c r="Y10" s="17"/>
    </row>
    <row x14ac:dyDescent="0.25" r="11" customHeight="1" ht="18.75">
      <c r="A11" s="17"/>
      <c r="B11" s="17"/>
      <c r="C11" s="33" t="s">
        <v>254</v>
      </c>
      <c r="D11" s="17"/>
      <c r="E11" s="17"/>
      <c r="F11" s="33" t="s">
        <v>255</v>
      </c>
      <c r="G11" s="33" t="s">
        <v>255</v>
      </c>
      <c r="H11" s="33" t="s">
        <v>256</v>
      </c>
      <c r="I11" s="17"/>
      <c r="J11" s="33" t="s">
        <v>80</v>
      </c>
      <c r="K11" s="17"/>
      <c r="L11" s="33" t="s">
        <v>256</v>
      </c>
      <c r="M11" s="17"/>
      <c r="N11" s="17"/>
      <c r="O11" s="17"/>
      <c r="P11" s="33" t="s">
        <v>257</v>
      </c>
      <c r="Q11" s="17" t="s">
        <v>258</v>
      </c>
      <c r="R11" s="17" t="s">
        <v>205</v>
      </c>
      <c r="S11" s="33" t="s">
        <v>259</v>
      </c>
      <c r="T11" s="33" t="s">
        <v>252</v>
      </c>
      <c r="U11" s="33" t="s">
        <v>260</v>
      </c>
      <c r="V11" s="33" t="s">
        <v>261</v>
      </c>
      <c r="W11" s="17"/>
      <c r="X11" s="17"/>
      <c r="Y11" s="17"/>
    </row>
    <row x14ac:dyDescent="0.25" r="12" customHeight="1" ht="18.75">
      <c r="A12" s="17"/>
      <c r="B12" s="17"/>
      <c r="C12" s="33" t="s">
        <v>262</v>
      </c>
      <c r="D12" s="17"/>
      <c r="E12" s="17"/>
      <c r="F12" s="33" t="s">
        <v>263</v>
      </c>
      <c r="G12" s="33" t="s">
        <v>263</v>
      </c>
      <c r="H12" s="17"/>
      <c r="I12" s="17"/>
      <c r="J12" s="33" t="s">
        <v>81</v>
      </c>
      <c r="K12" s="17"/>
      <c r="L12" s="33"/>
      <c r="M12" s="17"/>
      <c r="N12" s="17"/>
      <c r="O12" s="17"/>
      <c r="P12" s="33" t="s">
        <v>264</v>
      </c>
      <c r="Q12" s="17" t="s">
        <v>265</v>
      </c>
      <c r="R12" s="17" t="s">
        <v>205</v>
      </c>
      <c r="S12" s="33" t="s">
        <v>266</v>
      </c>
      <c r="T12" s="17"/>
      <c r="U12" s="33" t="s">
        <v>267</v>
      </c>
      <c r="V12" s="33" t="s">
        <v>268</v>
      </c>
      <c r="W12" s="17"/>
      <c r="X12" s="17"/>
      <c r="Y12" s="17"/>
    </row>
    <row x14ac:dyDescent="0.25" r="13" customHeight="1" ht="18.75">
      <c r="A13" s="17"/>
      <c r="B13" s="17"/>
      <c r="C13" s="17"/>
      <c r="D13" s="17"/>
      <c r="E13" s="17"/>
      <c r="F13" s="33" t="s">
        <v>269</v>
      </c>
      <c r="G13" s="33" t="s">
        <v>269</v>
      </c>
      <c r="H13" s="17"/>
      <c r="I13" s="17"/>
      <c r="J13" s="33"/>
      <c r="K13" s="17"/>
      <c r="L13" s="33"/>
      <c r="M13" s="17"/>
      <c r="N13" s="17"/>
      <c r="O13" s="17"/>
      <c r="P13" s="33" t="s">
        <v>270</v>
      </c>
      <c r="Q13" s="17" t="s">
        <v>271</v>
      </c>
      <c r="R13" s="17" t="s">
        <v>205</v>
      </c>
      <c r="S13" s="33" t="s">
        <v>272</v>
      </c>
      <c r="T13" s="17"/>
      <c r="U13" s="33" t="s">
        <v>273</v>
      </c>
      <c r="V13" s="33" t="s">
        <v>274</v>
      </c>
      <c r="W13" s="17"/>
      <c r="X13" s="17"/>
      <c r="Y13" s="17"/>
    </row>
    <row x14ac:dyDescent="0.25" r="14" customHeight="1" ht="18.75">
      <c r="A14" s="17"/>
      <c r="B14" s="17"/>
      <c r="C14" s="17"/>
      <c r="D14" s="17"/>
      <c r="E14" s="17"/>
      <c r="F14" s="33" t="s">
        <v>275</v>
      </c>
      <c r="G14" s="33" t="s">
        <v>275</v>
      </c>
      <c r="H14" s="17"/>
      <c r="I14" s="17"/>
      <c r="J14" s="33"/>
      <c r="K14" s="17"/>
      <c r="L14" s="17"/>
      <c r="M14" s="17"/>
      <c r="N14" s="17"/>
      <c r="O14" s="17"/>
      <c r="P14" s="33" t="s">
        <v>276</v>
      </c>
      <c r="Q14" s="17" t="s">
        <v>277</v>
      </c>
      <c r="R14" s="17" t="s">
        <v>205</v>
      </c>
      <c r="S14" s="33" t="s">
        <v>278</v>
      </c>
      <c r="T14" s="17"/>
      <c r="U14" s="33" t="s">
        <v>279</v>
      </c>
      <c r="V14" s="33" t="s">
        <v>280</v>
      </c>
      <c r="W14" s="17"/>
      <c r="X14" s="17"/>
      <c r="Y14" s="17"/>
    </row>
    <row x14ac:dyDescent="0.25" r="15" customHeight="1" ht="18.75">
      <c r="A15" s="17"/>
      <c r="B15" s="17"/>
      <c r="C15" s="17"/>
      <c r="D15" s="17"/>
      <c r="E15" s="17"/>
      <c r="F15" s="33" t="s">
        <v>281</v>
      </c>
      <c r="G15" s="33" t="s">
        <v>281</v>
      </c>
      <c r="H15" s="17"/>
      <c r="I15" s="17"/>
      <c r="J15" s="17"/>
      <c r="K15" s="17"/>
      <c r="L15" s="33"/>
      <c r="M15" s="17"/>
      <c r="N15" s="17"/>
      <c r="O15" s="17"/>
      <c r="P15" s="33" t="s">
        <v>282</v>
      </c>
      <c r="Q15" s="17" t="s">
        <v>283</v>
      </c>
      <c r="R15" s="17" t="s">
        <v>146</v>
      </c>
      <c r="S15" s="33" t="s">
        <v>284</v>
      </c>
      <c r="T15" s="17"/>
      <c r="U15" s="33" t="s">
        <v>285</v>
      </c>
      <c r="V15" s="33" t="s">
        <v>286</v>
      </c>
      <c r="W15" s="17"/>
      <c r="X15" s="17"/>
      <c r="Y15" s="17"/>
    </row>
    <row x14ac:dyDescent="0.25" r="16" customHeight="1" ht="18.75">
      <c r="A16" s="17"/>
      <c r="B16" s="17"/>
      <c r="C16" s="17"/>
      <c r="D16" s="17"/>
      <c r="E16" s="17"/>
      <c r="F16" s="33" t="s">
        <v>287</v>
      </c>
      <c r="G16" s="33" t="s">
        <v>287</v>
      </c>
      <c r="H16" s="17"/>
      <c r="I16" s="17"/>
      <c r="J16" s="17"/>
      <c r="K16" s="17"/>
      <c r="L16" s="17"/>
      <c r="M16" s="17"/>
      <c r="N16" s="17"/>
      <c r="O16" s="17"/>
      <c r="P16" s="33" t="s">
        <v>288</v>
      </c>
      <c r="Q16" s="17" t="s">
        <v>289</v>
      </c>
      <c r="R16" s="17"/>
      <c r="S16" s="33" t="s">
        <v>290</v>
      </c>
      <c r="T16" s="17"/>
      <c r="U16" s="17"/>
      <c r="V16" s="33" t="s">
        <v>291</v>
      </c>
      <c r="W16" s="17"/>
      <c r="X16" s="17"/>
      <c r="Y16" s="17"/>
    </row>
    <row x14ac:dyDescent="0.25" r="17" customHeight="1" ht="18.75">
      <c r="A17" s="17"/>
      <c r="B17" s="17"/>
      <c r="C17" s="17"/>
      <c r="D17" s="17"/>
      <c r="E17" s="17"/>
      <c r="F17" s="33" t="s">
        <v>292</v>
      </c>
      <c r="G17" s="33" t="s">
        <v>292</v>
      </c>
      <c r="H17" s="17"/>
      <c r="I17" s="17"/>
      <c r="J17" s="17"/>
      <c r="K17" s="17"/>
      <c r="L17" s="17"/>
      <c r="M17" s="17"/>
      <c r="N17" s="17"/>
      <c r="O17" s="17"/>
      <c r="P17" s="33" t="s">
        <v>293</v>
      </c>
      <c r="Q17" s="17" t="s">
        <v>294</v>
      </c>
      <c r="R17" s="17"/>
      <c r="S17" s="33" t="s">
        <v>295</v>
      </c>
      <c r="T17" s="17"/>
      <c r="U17" s="17"/>
      <c r="V17" s="33" t="s">
        <v>296</v>
      </c>
      <c r="W17" s="17"/>
      <c r="X17" s="17"/>
      <c r="Y17" s="17"/>
    </row>
    <row x14ac:dyDescent="0.25" r="18" customHeight="1" ht="18.75">
      <c r="A18" s="17"/>
      <c r="B18" s="17"/>
      <c r="C18" s="17"/>
      <c r="D18" s="17"/>
      <c r="E18" s="17"/>
      <c r="F18" s="33" t="s">
        <v>297</v>
      </c>
      <c r="G18" s="33" t="s">
        <v>297</v>
      </c>
      <c r="H18" s="17"/>
      <c r="I18" s="17"/>
      <c r="J18" s="17"/>
      <c r="K18" s="17"/>
      <c r="L18" s="17"/>
      <c r="M18" s="17"/>
      <c r="N18" s="17"/>
      <c r="O18" s="17"/>
      <c r="P18" s="33" t="s">
        <v>298</v>
      </c>
      <c r="Q18" s="17" t="s">
        <v>299</v>
      </c>
      <c r="R18" s="17"/>
      <c r="S18" s="33" t="s">
        <v>300</v>
      </c>
      <c r="T18" s="17"/>
      <c r="U18" s="17"/>
      <c r="V18" s="33" t="s">
        <v>301</v>
      </c>
      <c r="W18" s="17"/>
      <c r="X18" s="17"/>
      <c r="Y18" s="17"/>
    </row>
    <row x14ac:dyDescent="0.25" r="19" customHeight="1" ht="18.75">
      <c r="A19" s="17"/>
      <c r="B19" s="17"/>
      <c r="C19" s="17"/>
      <c r="D19" s="17"/>
      <c r="E19" s="17"/>
      <c r="F19" s="33" t="s">
        <v>302</v>
      </c>
      <c r="G19" s="33" t="s">
        <v>302</v>
      </c>
      <c r="H19" s="17"/>
      <c r="I19" s="17"/>
      <c r="J19" s="17"/>
      <c r="K19" s="17"/>
      <c r="L19" s="17"/>
      <c r="M19" s="17"/>
      <c r="N19" s="17"/>
      <c r="O19" s="17"/>
      <c r="P19" s="33" t="s">
        <v>303</v>
      </c>
      <c r="Q19" s="17" t="s">
        <v>304</v>
      </c>
      <c r="R19" s="17"/>
      <c r="S19" s="33" t="s">
        <v>305</v>
      </c>
      <c r="T19" s="17"/>
      <c r="U19" s="17"/>
      <c r="V19" s="33" t="s">
        <v>273</v>
      </c>
      <c r="W19" s="17"/>
      <c r="X19" s="17"/>
      <c r="Y19" s="17"/>
    </row>
    <row x14ac:dyDescent="0.25" r="20" customHeight="1" ht="18.75">
      <c r="A20" s="17"/>
      <c r="B20" s="17"/>
      <c r="C20" s="17"/>
      <c r="D20" s="17"/>
      <c r="E20" s="17"/>
      <c r="F20" s="33" t="s">
        <v>306</v>
      </c>
      <c r="G20" s="33" t="s">
        <v>306</v>
      </c>
      <c r="H20" s="17"/>
      <c r="I20" s="17"/>
      <c r="J20" s="17"/>
      <c r="K20" s="17"/>
      <c r="L20" s="17"/>
      <c r="M20" s="17"/>
      <c r="N20" s="17"/>
      <c r="O20" s="17"/>
      <c r="P20" s="33" t="s">
        <v>307</v>
      </c>
      <c r="Q20" s="17" t="s">
        <v>308</v>
      </c>
      <c r="R20" s="17"/>
      <c r="S20" s="33" t="s">
        <v>309</v>
      </c>
      <c r="T20" s="17"/>
      <c r="U20" s="17"/>
      <c r="V20" s="33" t="s">
        <v>310</v>
      </c>
      <c r="W20" s="17"/>
      <c r="X20" s="17"/>
      <c r="Y20" s="17"/>
    </row>
    <row x14ac:dyDescent="0.25" r="21" customHeight="1" ht="18.75">
      <c r="A21" s="17"/>
      <c r="B21" s="17"/>
      <c r="C21" s="17"/>
      <c r="D21" s="17"/>
      <c r="E21" s="17"/>
      <c r="F21" s="33" t="s">
        <v>311</v>
      </c>
      <c r="G21" s="33" t="s">
        <v>311</v>
      </c>
      <c r="H21" s="17"/>
      <c r="I21" s="17"/>
      <c r="J21" s="17"/>
      <c r="K21" s="17"/>
      <c r="L21" s="17"/>
      <c r="M21" s="17"/>
      <c r="N21" s="17"/>
      <c r="O21" s="17"/>
      <c r="P21" s="33" t="s">
        <v>312</v>
      </c>
      <c r="Q21" s="17" t="s">
        <v>313</v>
      </c>
      <c r="R21" s="17"/>
      <c r="S21" s="33" t="s">
        <v>314</v>
      </c>
      <c r="T21" s="17"/>
      <c r="U21" s="17"/>
      <c r="V21" s="33" t="s">
        <v>58</v>
      </c>
      <c r="W21" s="17"/>
      <c r="X21" s="17"/>
      <c r="Y21" s="17"/>
    </row>
    <row x14ac:dyDescent="0.25" r="22" customHeight="1" ht="18.75">
      <c r="A22" s="17"/>
      <c r="B22" s="17"/>
      <c r="C22" s="17"/>
      <c r="D22" s="17"/>
      <c r="E22" s="17"/>
      <c r="F22" s="33" t="s">
        <v>315</v>
      </c>
      <c r="G22" s="33" t="s">
        <v>315</v>
      </c>
      <c r="H22" s="17"/>
      <c r="I22" s="17"/>
      <c r="J22" s="17"/>
      <c r="K22" s="17"/>
      <c r="L22" s="17"/>
      <c r="M22" s="17"/>
      <c r="N22" s="17"/>
      <c r="O22" s="17"/>
      <c r="P22" s="33" t="s">
        <v>316</v>
      </c>
      <c r="Q22" s="17" t="s">
        <v>317</v>
      </c>
      <c r="R22" s="17"/>
      <c r="S22" s="33" t="s">
        <v>318</v>
      </c>
      <c r="T22" s="17"/>
      <c r="U22" s="17"/>
      <c r="V22" s="17"/>
      <c r="W22" s="17"/>
      <c r="X22" s="17"/>
      <c r="Y22" s="17"/>
    </row>
    <row x14ac:dyDescent="0.25" r="23" customHeight="1" ht="18.75">
      <c r="A23" s="17"/>
      <c r="B23" s="17"/>
      <c r="C23" s="17"/>
      <c r="D23" s="17"/>
      <c r="E23" s="17"/>
      <c r="F23" s="33" t="s">
        <v>319</v>
      </c>
      <c r="G23" s="33" t="s">
        <v>319</v>
      </c>
      <c r="H23" s="17"/>
      <c r="I23" s="17"/>
      <c r="J23" s="17"/>
      <c r="K23" s="17"/>
      <c r="L23" s="17"/>
      <c r="M23" s="17"/>
      <c r="N23" s="17"/>
      <c r="O23" s="17"/>
      <c r="P23" s="33" t="s">
        <v>320</v>
      </c>
      <c r="Q23" s="17" t="s">
        <v>321</v>
      </c>
      <c r="R23" s="17"/>
      <c r="S23" s="33" t="s">
        <v>322</v>
      </c>
      <c r="T23" s="17"/>
      <c r="U23" s="17"/>
      <c r="V23" s="17"/>
      <c r="W23" s="17"/>
      <c r="X23" s="17"/>
      <c r="Y23" s="17"/>
    </row>
    <row x14ac:dyDescent="0.25" r="24" customHeight="1" ht="18.75">
      <c r="A24" s="17"/>
      <c r="B24" s="17"/>
      <c r="C24" s="17"/>
      <c r="D24" s="17"/>
      <c r="E24" s="17"/>
      <c r="F24" s="33" t="s">
        <v>323</v>
      </c>
      <c r="G24" s="33" t="s">
        <v>323</v>
      </c>
      <c r="H24" s="17"/>
      <c r="I24" s="17"/>
      <c r="J24" s="17"/>
      <c r="K24" s="17"/>
      <c r="L24" s="17"/>
      <c r="M24" s="17"/>
      <c r="N24" s="17"/>
      <c r="O24" s="17"/>
      <c r="P24" s="33" t="s">
        <v>324</v>
      </c>
      <c r="Q24" s="17" t="s">
        <v>325</v>
      </c>
      <c r="R24" s="17"/>
      <c r="S24" s="33" t="s">
        <v>326</v>
      </c>
      <c r="T24" s="17"/>
      <c r="U24" s="17"/>
      <c r="V24" s="17"/>
      <c r="W24" s="17"/>
      <c r="X24" s="17"/>
      <c r="Y24" s="17"/>
    </row>
    <row x14ac:dyDescent="0.25" r="25" customHeight="1" ht="18.75">
      <c r="A25" s="17"/>
      <c r="B25" s="17"/>
      <c r="C25" s="17"/>
      <c r="D25" s="17"/>
      <c r="E25" s="17"/>
      <c r="F25" s="33" t="s">
        <v>327</v>
      </c>
      <c r="G25" s="33" t="s">
        <v>327</v>
      </c>
      <c r="H25" s="17"/>
      <c r="I25" s="17"/>
      <c r="J25" s="17"/>
      <c r="K25" s="17"/>
      <c r="L25" s="17"/>
      <c r="M25" s="17"/>
      <c r="N25" s="17"/>
      <c r="O25" s="17"/>
      <c r="P25" s="33" t="s">
        <v>328</v>
      </c>
      <c r="Q25" s="17" t="s">
        <v>329</v>
      </c>
      <c r="R25" s="17"/>
      <c r="S25" s="33" t="s">
        <v>330</v>
      </c>
      <c r="T25" s="17"/>
      <c r="U25" s="17"/>
      <c r="V25" s="17"/>
      <c r="W25" s="17"/>
      <c r="X25" s="17"/>
      <c r="Y25" s="17"/>
    </row>
    <row x14ac:dyDescent="0.25" r="26" customHeight="1" ht="18.75">
      <c r="A26" s="17"/>
      <c r="B26" s="17"/>
      <c r="C26" s="17"/>
      <c r="D26" s="17"/>
      <c r="E26" s="17"/>
      <c r="F26" s="33" t="s">
        <v>331</v>
      </c>
      <c r="G26" s="33" t="s">
        <v>331</v>
      </c>
      <c r="H26" s="17"/>
      <c r="I26" s="17"/>
      <c r="J26" s="17"/>
      <c r="K26" s="17"/>
      <c r="L26" s="17"/>
      <c r="M26" s="17"/>
      <c r="N26" s="17"/>
      <c r="O26" s="17"/>
      <c r="P26" s="33" t="s">
        <v>332</v>
      </c>
      <c r="Q26" s="17" t="s">
        <v>333</v>
      </c>
      <c r="R26" s="17"/>
      <c r="S26" s="33" t="s">
        <v>334</v>
      </c>
      <c r="T26" s="17"/>
      <c r="U26" s="17"/>
      <c r="V26" s="17"/>
      <c r="W26" s="17"/>
      <c r="X26" s="17"/>
      <c r="Y26" s="17"/>
    </row>
    <row x14ac:dyDescent="0.25" r="27" customHeight="1" ht="18.75">
      <c r="A27" s="17"/>
      <c r="B27" s="17"/>
      <c r="C27" s="17"/>
      <c r="D27" s="17"/>
      <c r="E27" s="17"/>
      <c r="F27" s="33" t="s">
        <v>335</v>
      </c>
      <c r="G27" s="33" t="s">
        <v>335</v>
      </c>
      <c r="H27" s="17"/>
      <c r="I27" s="17"/>
      <c r="J27" s="17"/>
      <c r="K27" s="17"/>
      <c r="L27" s="17"/>
      <c r="M27" s="17"/>
      <c r="N27" s="17"/>
      <c r="O27" s="17"/>
      <c r="P27" s="33" t="s">
        <v>336</v>
      </c>
      <c r="Q27" s="17" t="s">
        <v>337</v>
      </c>
      <c r="R27" s="17"/>
      <c r="S27" s="33" t="s">
        <v>338</v>
      </c>
      <c r="T27" s="17"/>
      <c r="U27" s="17"/>
      <c r="V27" s="17"/>
      <c r="W27" s="17"/>
      <c r="X27" s="17"/>
      <c r="Y27" s="17"/>
    </row>
    <row x14ac:dyDescent="0.25" r="28" customHeight="1" ht="18.75">
      <c r="A28" s="17"/>
      <c r="B28" s="17"/>
      <c r="C28" s="17"/>
      <c r="D28" s="17"/>
      <c r="E28" s="17"/>
      <c r="F28" s="33" t="s">
        <v>339</v>
      </c>
      <c r="G28" s="33" t="s">
        <v>339</v>
      </c>
      <c r="H28" s="17"/>
      <c r="I28" s="17"/>
      <c r="J28" s="17"/>
      <c r="K28" s="17"/>
      <c r="L28" s="17"/>
      <c r="M28" s="17"/>
      <c r="N28" s="17"/>
      <c r="O28" s="17"/>
      <c r="P28" s="33" t="s">
        <v>340</v>
      </c>
      <c r="Q28" s="17" t="s">
        <v>341</v>
      </c>
      <c r="R28" s="17"/>
      <c r="S28" s="33" t="s">
        <v>342</v>
      </c>
      <c r="T28" s="17"/>
      <c r="U28" s="17"/>
      <c r="V28" s="17"/>
      <c r="W28" s="17"/>
      <c r="X28" s="17"/>
      <c r="Y28" s="17"/>
    </row>
    <row x14ac:dyDescent="0.25" r="29" customHeight="1" ht="18.75">
      <c r="A29" s="17"/>
      <c r="B29" s="17"/>
      <c r="C29" s="17"/>
      <c r="D29" s="17"/>
      <c r="E29" s="17"/>
      <c r="F29" s="33" t="s">
        <v>343</v>
      </c>
      <c r="G29" s="33" t="s">
        <v>343</v>
      </c>
      <c r="H29" s="17"/>
      <c r="I29" s="17"/>
      <c r="J29" s="17"/>
      <c r="K29" s="17"/>
      <c r="L29" s="17"/>
      <c r="M29" s="17"/>
      <c r="N29" s="17"/>
      <c r="O29" s="17"/>
      <c r="P29" s="33" t="s">
        <v>344</v>
      </c>
      <c r="Q29" s="17" t="s">
        <v>345</v>
      </c>
      <c r="R29" s="17"/>
      <c r="S29" s="33" t="s">
        <v>346</v>
      </c>
      <c r="T29" s="17"/>
      <c r="U29" s="17"/>
      <c r="V29" s="17"/>
      <c r="W29" s="17"/>
      <c r="X29" s="17"/>
      <c r="Y29" s="17"/>
    </row>
    <row x14ac:dyDescent="0.25" r="30" customHeight="1" ht="18.75">
      <c r="A30" s="17"/>
      <c r="B30" s="17"/>
      <c r="C30" s="17"/>
      <c r="D30" s="17"/>
      <c r="E30" s="17"/>
      <c r="F30" s="33" t="s">
        <v>347</v>
      </c>
      <c r="G30" s="33" t="s">
        <v>347</v>
      </c>
      <c r="H30" s="17"/>
      <c r="I30" s="17"/>
      <c r="J30" s="17"/>
      <c r="K30" s="17"/>
      <c r="L30" s="17"/>
      <c r="M30" s="17"/>
      <c r="N30" s="17"/>
      <c r="O30" s="17"/>
      <c r="P30" s="33" t="s">
        <v>348</v>
      </c>
      <c r="Q30" s="17" t="s">
        <v>349</v>
      </c>
      <c r="R30" s="17"/>
      <c r="S30" s="33" t="s">
        <v>350</v>
      </c>
      <c r="T30" s="17"/>
      <c r="U30" s="17"/>
      <c r="V30" s="17"/>
      <c r="W30" s="17"/>
      <c r="X30" s="17"/>
      <c r="Y30" s="17"/>
    </row>
    <row x14ac:dyDescent="0.25" r="31" customHeight="1" ht="18.75">
      <c r="A31" s="17"/>
      <c r="B31" s="17"/>
      <c r="C31" s="17"/>
      <c r="D31" s="17"/>
      <c r="E31" s="17"/>
      <c r="F31" s="33" t="s">
        <v>351</v>
      </c>
      <c r="G31" s="33" t="s">
        <v>351</v>
      </c>
      <c r="H31" s="17"/>
      <c r="I31" s="17"/>
      <c r="J31" s="17"/>
      <c r="K31" s="17"/>
      <c r="L31" s="17"/>
      <c r="M31" s="17"/>
      <c r="N31" s="17"/>
      <c r="O31" s="17"/>
      <c r="P31" s="33" t="s">
        <v>352</v>
      </c>
      <c r="Q31" s="17" t="s">
        <v>353</v>
      </c>
      <c r="R31" s="17"/>
      <c r="S31" s="33" t="s">
        <v>354</v>
      </c>
      <c r="T31" s="17"/>
      <c r="U31" s="17"/>
      <c r="V31" s="17"/>
      <c r="W31" s="17"/>
      <c r="X31" s="17"/>
      <c r="Y31" s="17"/>
    </row>
    <row x14ac:dyDescent="0.25" r="32" customHeight="1" ht="18.75">
      <c r="A32" s="17"/>
      <c r="B32" s="17"/>
      <c r="C32" s="17"/>
      <c r="D32" s="17"/>
      <c r="E32" s="17"/>
      <c r="F32" s="33" t="s">
        <v>355</v>
      </c>
      <c r="G32" s="33" t="s">
        <v>355</v>
      </c>
      <c r="H32" s="17"/>
      <c r="I32" s="17"/>
      <c r="J32" s="17"/>
      <c r="K32" s="17"/>
      <c r="L32" s="17"/>
      <c r="M32" s="17"/>
      <c r="N32" s="17"/>
      <c r="O32" s="17"/>
      <c r="P32" s="33" t="s">
        <v>356</v>
      </c>
      <c r="Q32" s="17" t="s">
        <v>357</v>
      </c>
      <c r="R32" s="17"/>
      <c r="S32" s="33" t="s">
        <v>358</v>
      </c>
      <c r="T32" s="17"/>
      <c r="U32" s="17"/>
      <c r="V32" s="17"/>
      <c r="W32" s="17"/>
      <c r="X32" s="17"/>
      <c r="Y32" s="17"/>
    </row>
    <row x14ac:dyDescent="0.25" r="33" customHeight="1" ht="18.75">
      <c r="A33" s="17"/>
      <c r="B33" s="17"/>
      <c r="C33" s="17"/>
      <c r="D33" s="17"/>
      <c r="E33" s="17"/>
      <c r="F33" s="33" t="s">
        <v>359</v>
      </c>
      <c r="G33" s="33" t="s">
        <v>359</v>
      </c>
      <c r="H33" s="17"/>
      <c r="I33" s="17"/>
      <c r="J33" s="17"/>
      <c r="K33" s="17"/>
      <c r="L33" s="17"/>
      <c r="M33" s="17"/>
      <c r="N33" s="17"/>
      <c r="O33" s="17"/>
      <c r="P33" s="33" t="s">
        <v>360</v>
      </c>
      <c r="Q33" s="17" t="s">
        <v>361</v>
      </c>
      <c r="R33" s="17"/>
      <c r="S33" s="33" t="s">
        <v>362</v>
      </c>
      <c r="T33" s="17"/>
      <c r="U33" s="17"/>
      <c r="V33" s="17"/>
      <c r="W33" s="17"/>
      <c r="X33" s="17"/>
      <c r="Y33" s="17"/>
    </row>
    <row x14ac:dyDescent="0.25" r="34" customHeight="1" ht="18.75">
      <c r="A34" s="17"/>
      <c r="B34" s="17"/>
      <c r="C34" s="17"/>
      <c r="D34" s="17"/>
      <c r="E34" s="17"/>
      <c r="F34" s="33" t="s">
        <v>363</v>
      </c>
      <c r="G34" s="33" t="s">
        <v>363</v>
      </c>
      <c r="H34" s="17"/>
      <c r="I34" s="17"/>
      <c r="J34" s="17"/>
      <c r="K34" s="17"/>
      <c r="L34" s="17"/>
      <c r="M34" s="17"/>
      <c r="N34" s="17"/>
      <c r="O34" s="17"/>
      <c r="P34" s="33" t="s">
        <v>364</v>
      </c>
      <c r="Q34" s="17" t="s">
        <v>365</v>
      </c>
      <c r="R34" s="17"/>
      <c r="S34" s="33" t="s">
        <v>366</v>
      </c>
      <c r="T34" s="17"/>
      <c r="U34" s="17"/>
      <c r="V34" s="17"/>
      <c r="W34" s="17"/>
      <c r="X34" s="17"/>
      <c r="Y34" s="17"/>
    </row>
    <row x14ac:dyDescent="0.25" r="35" customHeight="1" ht="18.75">
      <c r="A35" s="17"/>
      <c r="B35" s="17"/>
      <c r="C35" s="17"/>
      <c r="D35" s="17"/>
      <c r="E35" s="17"/>
      <c r="F35" s="33" t="s">
        <v>367</v>
      </c>
      <c r="G35" s="33" t="s">
        <v>367</v>
      </c>
      <c r="H35" s="17"/>
      <c r="I35" s="17"/>
      <c r="J35" s="17"/>
      <c r="K35" s="17"/>
      <c r="L35" s="17"/>
      <c r="M35" s="17"/>
      <c r="N35" s="17"/>
      <c r="O35" s="17"/>
      <c r="P35" s="33" t="s">
        <v>368</v>
      </c>
      <c r="Q35" s="17" t="s">
        <v>369</v>
      </c>
      <c r="R35" s="17"/>
      <c r="S35" s="33" t="s">
        <v>370</v>
      </c>
      <c r="T35" s="17"/>
      <c r="U35" s="17"/>
      <c r="V35" s="17"/>
      <c r="W35" s="17"/>
      <c r="X35" s="17"/>
      <c r="Y35" s="17"/>
    </row>
    <row x14ac:dyDescent="0.25" r="36" customHeight="1" ht="18.75">
      <c r="A36" s="17"/>
      <c r="B36" s="17"/>
      <c r="C36" s="17"/>
      <c r="D36" s="17"/>
      <c r="E36" s="17"/>
      <c r="F36" s="33" t="s">
        <v>371</v>
      </c>
      <c r="G36" s="33" t="s">
        <v>371</v>
      </c>
      <c r="H36" s="17"/>
      <c r="I36" s="17"/>
      <c r="J36" s="17"/>
      <c r="K36" s="17"/>
      <c r="L36" s="17"/>
      <c r="M36" s="17"/>
      <c r="N36" s="17"/>
      <c r="O36" s="17"/>
      <c r="P36" s="33" t="s">
        <v>372</v>
      </c>
      <c r="Q36" s="17" t="s">
        <v>373</v>
      </c>
      <c r="R36" s="17"/>
      <c r="S36" s="33" t="s">
        <v>374</v>
      </c>
      <c r="T36" s="17"/>
      <c r="U36" s="17"/>
      <c r="V36" s="17"/>
      <c r="W36" s="17"/>
      <c r="X36" s="17"/>
      <c r="Y36" s="17"/>
    </row>
    <row x14ac:dyDescent="0.25" r="37" customHeight="1" ht="18.75">
      <c r="A37" s="17"/>
      <c r="B37" s="17"/>
      <c r="C37" s="17"/>
      <c r="D37" s="17"/>
      <c r="E37" s="17"/>
      <c r="F37" s="33" t="s">
        <v>375</v>
      </c>
      <c r="G37" s="33" t="s">
        <v>375</v>
      </c>
      <c r="H37" s="17"/>
      <c r="I37" s="17"/>
      <c r="J37" s="17"/>
      <c r="K37" s="17"/>
      <c r="L37" s="17"/>
      <c r="M37" s="17"/>
      <c r="N37" s="17"/>
      <c r="O37" s="17"/>
      <c r="P37" s="33" t="s">
        <v>376</v>
      </c>
      <c r="Q37" s="17" t="s">
        <v>377</v>
      </c>
      <c r="R37" s="17"/>
      <c r="S37" s="33" t="s">
        <v>378</v>
      </c>
      <c r="T37" s="17"/>
      <c r="U37" s="17"/>
      <c r="V37" s="17"/>
      <c r="W37" s="17"/>
      <c r="X37" s="17"/>
      <c r="Y37" s="17"/>
    </row>
    <row x14ac:dyDescent="0.25" r="38" customHeight="1" ht="18.75">
      <c r="A38" s="17"/>
      <c r="B38" s="17"/>
      <c r="C38" s="17"/>
      <c r="D38" s="17"/>
      <c r="E38" s="17"/>
      <c r="F38" s="33" t="s">
        <v>379</v>
      </c>
      <c r="G38" s="33" t="s">
        <v>379</v>
      </c>
      <c r="H38" s="17"/>
      <c r="I38" s="17"/>
      <c r="J38" s="17"/>
      <c r="K38" s="17"/>
      <c r="L38" s="17"/>
      <c r="M38" s="17"/>
      <c r="N38" s="17"/>
      <c r="O38" s="17"/>
      <c r="P38" s="33" t="s">
        <v>380</v>
      </c>
      <c r="Q38" s="17" t="s">
        <v>381</v>
      </c>
      <c r="R38" s="17"/>
      <c r="S38" s="33" t="s">
        <v>382</v>
      </c>
      <c r="T38" s="17"/>
      <c r="U38" s="17"/>
      <c r="V38" s="17"/>
      <c r="W38" s="17"/>
      <c r="X38" s="17"/>
      <c r="Y38" s="17"/>
    </row>
    <row x14ac:dyDescent="0.25" r="39" customHeight="1" ht="18.75">
      <c r="A39" s="17"/>
      <c r="B39" s="17"/>
      <c r="C39" s="17"/>
      <c r="D39" s="17"/>
      <c r="E39" s="17"/>
      <c r="F39" s="33" t="s">
        <v>383</v>
      </c>
      <c r="G39" s="33" t="s">
        <v>383</v>
      </c>
      <c r="H39" s="17"/>
      <c r="I39" s="17"/>
      <c r="J39" s="17"/>
      <c r="K39" s="17"/>
      <c r="L39" s="17"/>
      <c r="M39" s="17"/>
      <c r="N39" s="17"/>
      <c r="O39" s="17"/>
      <c r="P39" s="33" t="s">
        <v>384</v>
      </c>
      <c r="Q39" s="17" t="s">
        <v>385</v>
      </c>
      <c r="R39" s="17"/>
      <c r="S39" s="33" t="s">
        <v>386</v>
      </c>
      <c r="T39" s="17"/>
      <c r="U39" s="17"/>
      <c r="V39" s="17"/>
      <c r="W39" s="17"/>
      <c r="X39" s="17"/>
      <c r="Y39" s="17"/>
    </row>
    <row x14ac:dyDescent="0.25" r="40" customHeight="1" ht="18.75">
      <c r="A40" s="17"/>
      <c r="B40" s="17"/>
      <c r="C40" s="17"/>
      <c r="D40" s="17"/>
      <c r="E40" s="17"/>
      <c r="F40" s="33" t="s">
        <v>387</v>
      </c>
      <c r="G40" s="33" t="s">
        <v>387</v>
      </c>
      <c r="H40" s="17"/>
      <c r="I40" s="17"/>
      <c r="J40" s="17"/>
      <c r="K40" s="17"/>
      <c r="L40" s="17"/>
      <c r="M40" s="17"/>
      <c r="N40" s="17"/>
      <c r="O40" s="17"/>
      <c r="P40" s="33" t="s">
        <v>388</v>
      </c>
      <c r="Q40" s="17" t="s">
        <v>389</v>
      </c>
      <c r="R40" s="17"/>
      <c r="S40" s="33" t="s">
        <v>390</v>
      </c>
      <c r="T40" s="17"/>
      <c r="U40" s="17"/>
      <c r="V40" s="17"/>
      <c r="W40" s="17"/>
      <c r="X40" s="17"/>
      <c r="Y40" s="17"/>
    </row>
    <row x14ac:dyDescent="0.25" r="41" customHeight="1" ht="18.75">
      <c r="A41" s="17"/>
      <c r="B41" s="17"/>
      <c r="C41" s="17"/>
      <c r="D41" s="17"/>
      <c r="E41" s="17"/>
      <c r="F41" s="33" t="s">
        <v>391</v>
      </c>
      <c r="G41" s="33" t="s">
        <v>391</v>
      </c>
      <c r="H41" s="17"/>
      <c r="I41" s="17"/>
      <c r="J41" s="17"/>
      <c r="K41" s="17"/>
      <c r="L41" s="17"/>
      <c r="M41" s="17"/>
      <c r="N41" s="17"/>
      <c r="O41" s="17"/>
      <c r="P41" s="33" t="s">
        <v>392</v>
      </c>
      <c r="Q41" s="17" t="s">
        <v>393</v>
      </c>
      <c r="R41" s="17"/>
      <c r="S41" s="33" t="s">
        <v>394</v>
      </c>
      <c r="T41" s="17"/>
      <c r="U41" s="17"/>
      <c r="V41" s="17"/>
      <c r="W41" s="17"/>
      <c r="X41" s="17"/>
      <c r="Y41" s="17"/>
    </row>
    <row x14ac:dyDescent="0.25" r="42" customHeight="1" ht="18.75">
      <c r="A42" s="17"/>
      <c r="B42" s="17"/>
      <c r="C42" s="17"/>
      <c r="D42" s="17"/>
      <c r="E42" s="17"/>
      <c r="F42" s="33" t="s">
        <v>395</v>
      </c>
      <c r="G42" s="33" t="s">
        <v>395</v>
      </c>
      <c r="H42" s="17"/>
      <c r="I42" s="17"/>
      <c r="J42" s="17"/>
      <c r="K42" s="17"/>
      <c r="L42" s="17"/>
      <c r="M42" s="17"/>
      <c r="N42" s="17"/>
      <c r="O42" s="17"/>
      <c r="P42" s="33" t="s">
        <v>396</v>
      </c>
      <c r="Q42" s="17" t="s">
        <v>397</v>
      </c>
      <c r="R42" s="17"/>
      <c r="S42" s="33" t="s">
        <v>398</v>
      </c>
      <c r="T42" s="17"/>
      <c r="U42" s="17"/>
      <c r="V42" s="17"/>
      <c r="W42" s="17"/>
      <c r="X42" s="17"/>
      <c r="Y42" s="17"/>
    </row>
    <row x14ac:dyDescent="0.25" r="43" customHeight="1" ht="18.7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33" t="s">
        <v>399</v>
      </c>
      <c r="Q43" s="17" t="s">
        <v>400</v>
      </c>
      <c r="R43" s="17"/>
      <c r="S43" s="33" t="s">
        <v>401</v>
      </c>
      <c r="T43" s="17"/>
      <c r="U43" s="17"/>
      <c r="V43" s="17"/>
      <c r="W43" s="17"/>
      <c r="X43" s="17"/>
      <c r="Y43" s="17"/>
    </row>
    <row x14ac:dyDescent="0.25" r="44" customHeight="1" ht="18.7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33" t="s">
        <v>402</v>
      </c>
      <c r="Q44" s="17"/>
      <c r="R44" s="17"/>
      <c r="S44" s="33" t="s">
        <v>403</v>
      </c>
      <c r="T44" s="17"/>
      <c r="U44" s="17"/>
      <c r="V44" s="17"/>
      <c r="W44" s="17"/>
      <c r="X44" s="17"/>
      <c r="Y44" s="17"/>
    </row>
    <row x14ac:dyDescent="0.25" r="45" customHeight="1" ht="18.7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33" t="s">
        <v>404</v>
      </c>
      <c r="Q45" s="17"/>
      <c r="R45" s="17"/>
      <c r="S45" s="33" t="s">
        <v>405</v>
      </c>
      <c r="T45" s="17"/>
      <c r="U45" s="17"/>
      <c r="V45" s="17"/>
      <c r="W45" s="17"/>
      <c r="X45" s="17"/>
      <c r="Y45" s="17"/>
    </row>
    <row x14ac:dyDescent="0.25" r="46" customHeight="1" ht="18.7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33" t="s">
        <v>406</v>
      </c>
      <c r="Q46" s="17"/>
      <c r="R46" s="17"/>
      <c r="S46" s="33" t="s">
        <v>407</v>
      </c>
      <c r="T46" s="17"/>
      <c r="U46" s="17"/>
      <c r="V46" s="17"/>
      <c r="W46" s="17"/>
      <c r="X46" s="17"/>
      <c r="Y46" s="17"/>
    </row>
    <row x14ac:dyDescent="0.25" r="47" customHeight="1" ht="18.7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33" t="s">
        <v>408</v>
      </c>
      <c r="Q47" s="17"/>
      <c r="R47" s="17"/>
      <c r="S47" s="33" t="s">
        <v>409</v>
      </c>
      <c r="T47" s="17"/>
      <c r="U47" s="17"/>
      <c r="V47" s="17"/>
      <c r="W47" s="17"/>
      <c r="X47" s="17"/>
      <c r="Y47" s="17"/>
    </row>
    <row x14ac:dyDescent="0.25" r="48" customHeight="1" ht="18.7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33" t="s">
        <v>410</v>
      </c>
      <c r="Q48" s="17"/>
      <c r="R48" s="17"/>
      <c r="S48" s="33" t="s">
        <v>411</v>
      </c>
      <c r="T48" s="17"/>
      <c r="U48" s="17"/>
      <c r="V48" s="17"/>
      <c r="W48" s="17"/>
      <c r="X48" s="17"/>
      <c r="Y48" s="17"/>
    </row>
    <row x14ac:dyDescent="0.25" r="49" customHeight="1" ht="18.7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33" t="s">
        <v>412</v>
      </c>
      <c r="Q49" s="17"/>
      <c r="R49" s="17"/>
      <c r="S49" s="33" t="s">
        <v>413</v>
      </c>
      <c r="T49" s="17"/>
      <c r="U49" s="17"/>
      <c r="V49" s="17"/>
      <c r="W49" s="17"/>
      <c r="X49" s="17"/>
      <c r="Y49" s="17"/>
    </row>
    <row x14ac:dyDescent="0.25" r="50" customHeight="1" ht="18.7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33" t="s">
        <v>414</v>
      </c>
      <c r="Q50" s="17"/>
      <c r="R50" s="17"/>
      <c r="S50" s="33" t="s">
        <v>415</v>
      </c>
      <c r="T50" s="17"/>
      <c r="U50" s="17"/>
      <c r="V50" s="17"/>
      <c r="W50" s="17"/>
      <c r="X50" s="17"/>
      <c r="Y50" s="17"/>
    </row>
    <row x14ac:dyDescent="0.25" r="51" customHeight="1" ht="18.7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33" t="s">
        <v>416</v>
      </c>
      <c r="Q51" s="17"/>
      <c r="R51" s="17"/>
      <c r="S51" s="33" t="s">
        <v>417</v>
      </c>
      <c r="T51" s="17"/>
      <c r="U51" s="17"/>
      <c r="V51" s="17"/>
      <c r="W51" s="17"/>
      <c r="X51" s="17"/>
      <c r="Y51" s="17"/>
    </row>
    <row x14ac:dyDescent="0.25" r="52" customHeight="1" ht="18.7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33" t="s">
        <v>418</v>
      </c>
      <c r="Q52" s="17"/>
      <c r="R52" s="17"/>
      <c r="S52" s="33" t="s">
        <v>419</v>
      </c>
      <c r="T52" s="17"/>
      <c r="U52" s="17"/>
      <c r="V52" s="17"/>
      <c r="W52" s="17"/>
      <c r="X52" s="17"/>
      <c r="Y52" s="17"/>
    </row>
    <row x14ac:dyDescent="0.25" r="53" customHeight="1" ht="18.7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33" t="s">
        <v>420</v>
      </c>
      <c r="Q53" s="17"/>
      <c r="R53" s="17"/>
      <c r="S53" s="33" t="s">
        <v>421</v>
      </c>
      <c r="T53" s="17"/>
      <c r="U53" s="17"/>
      <c r="V53" s="17"/>
      <c r="W53" s="17"/>
      <c r="X53" s="17"/>
      <c r="Y53" s="17"/>
    </row>
    <row x14ac:dyDescent="0.25" r="54" customHeight="1" ht="18.7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33" t="s">
        <v>422</v>
      </c>
      <c r="Q54" s="17"/>
      <c r="R54" s="17"/>
      <c r="S54" s="33" t="s">
        <v>423</v>
      </c>
      <c r="T54" s="17"/>
      <c r="U54" s="17"/>
      <c r="V54" s="17"/>
      <c r="W54" s="17"/>
      <c r="X54" s="17"/>
      <c r="Y54" s="17"/>
    </row>
    <row x14ac:dyDescent="0.25" r="55" customHeight="1" ht="18.7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33" t="s">
        <v>273</v>
      </c>
      <c r="Q55" s="17"/>
      <c r="R55" s="17"/>
      <c r="S55" s="33" t="s">
        <v>424</v>
      </c>
      <c r="T55" s="17"/>
      <c r="U55" s="17"/>
      <c r="V55" s="17"/>
      <c r="W55" s="17"/>
      <c r="X55" s="17"/>
      <c r="Y55" s="17"/>
    </row>
    <row x14ac:dyDescent="0.25" r="56" customHeight="1" ht="18.7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33" t="s">
        <v>425</v>
      </c>
      <c r="Q56" s="17"/>
      <c r="R56" s="17"/>
      <c r="S56" s="33" t="s">
        <v>426</v>
      </c>
      <c r="T56" s="17"/>
      <c r="U56" s="17"/>
      <c r="V56" s="17"/>
      <c r="W56" s="17"/>
      <c r="X56" s="17"/>
      <c r="Y56" s="17"/>
    </row>
    <row x14ac:dyDescent="0.25" r="57" customHeight="1" ht="18.7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33" t="s">
        <v>427</v>
      </c>
      <c r="Q57" s="17"/>
      <c r="R57" s="17"/>
      <c r="S57" s="33" t="s">
        <v>428</v>
      </c>
      <c r="T57" s="17"/>
      <c r="U57" s="17"/>
      <c r="V57" s="17"/>
      <c r="W57" s="17"/>
      <c r="X57" s="17"/>
      <c r="Y57" s="17"/>
    </row>
    <row x14ac:dyDescent="0.25" r="58" customHeight="1" ht="18.7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33" t="s">
        <v>429</v>
      </c>
      <c r="Q58" s="17"/>
      <c r="R58" s="17"/>
      <c r="S58" s="33" t="s">
        <v>430</v>
      </c>
      <c r="T58" s="17"/>
      <c r="U58" s="17"/>
      <c r="V58" s="17"/>
      <c r="W58" s="17"/>
      <c r="X58" s="17"/>
      <c r="Y58" s="17"/>
    </row>
    <row x14ac:dyDescent="0.25" r="59" customHeight="1" ht="18.7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33" t="s">
        <v>431</v>
      </c>
      <c r="Q59" s="17"/>
      <c r="R59" s="17"/>
      <c r="S59" s="33" t="s">
        <v>432</v>
      </c>
      <c r="T59" s="17"/>
      <c r="U59" s="17"/>
      <c r="V59" s="17"/>
      <c r="W59" s="17"/>
      <c r="X59" s="17"/>
      <c r="Y59" s="17"/>
    </row>
    <row x14ac:dyDescent="0.25" r="60" customHeight="1" ht="18.7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33" t="s">
        <v>433</v>
      </c>
      <c r="Q60" s="17"/>
      <c r="R60" s="17"/>
      <c r="S60" s="33" t="s">
        <v>434</v>
      </c>
      <c r="T60" s="17"/>
      <c r="U60" s="17"/>
      <c r="V60" s="17"/>
      <c r="W60" s="17"/>
      <c r="X60" s="17"/>
      <c r="Y60" s="17"/>
    </row>
    <row x14ac:dyDescent="0.25" r="61" customHeight="1" ht="18.7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33" t="s">
        <v>435</v>
      </c>
      <c r="Q61" s="17"/>
      <c r="R61" s="17"/>
      <c r="S61" s="33" t="s">
        <v>436</v>
      </c>
      <c r="T61" s="17"/>
      <c r="U61" s="17"/>
      <c r="V61" s="17"/>
      <c r="W61" s="17"/>
      <c r="X61" s="17"/>
      <c r="Y61" s="17"/>
    </row>
    <row x14ac:dyDescent="0.25" r="62" customHeight="1" ht="18.7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33" t="s">
        <v>361</v>
      </c>
      <c r="Q62" s="17"/>
      <c r="R62" s="17"/>
      <c r="S62" s="33" t="s">
        <v>322</v>
      </c>
      <c r="T62" s="17"/>
      <c r="U62" s="17"/>
      <c r="V62" s="17"/>
      <c r="W62" s="17"/>
      <c r="X62" s="17"/>
      <c r="Y62" s="17"/>
    </row>
    <row x14ac:dyDescent="0.25" r="63" customHeight="1" ht="18.7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33" t="s">
        <v>365</v>
      </c>
      <c r="Q63" s="17"/>
      <c r="R63" s="17"/>
      <c r="S63" s="33" t="s">
        <v>253</v>
      </c>
      <c r="T63" s="17"/>
      <c r="U63" s="17"/>
      <c r="V63" s="17"/>
      <c r="W63" s="17"/>
      <c r="X63" s="17"/>
      <c r="Y63" s="17"/>
    </row>
    <row x14ac:dyDescent="0.25" r="64" customHeight="1" ht="18.7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33" t="s">
        <v>437</v>
      </c>
      <c r="Q64" s="17"/>
      <c r="R64" s="17"/>
      <c r="S64" s="33" t="s">
        <v>438</v>
      </c>
      <c r="T64" s="17"/>
      <c r="U64" s="17"/>
      <c r="V64" s="17"/>
      <c r="W64" s="17"/>
      <c r="X64" s="17"/>
      <c r="Y64" s="17"/>
    </row>
    <row x14ac:dyDescent="0.25" r="65" customHeight="1" ht="18.7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33" t="s">
        <v>439</v>
      </c>
      <c r="Q65" s="17"/>
      <c r="R65" s="17"/>
      <c r="S65" s="33" t="s">
        <v>440</v>
      </c>
      <c r="T65" s="17"/>
      <c r="U65" s="17"/>
      <c r="V65" s="17"/>
      <c r="W65" s="17"/>
      <c r="X65" s="17"/>
      <c r="Y65" s="17"/>
    </row>
    <row x14ac:dyDescent="0.25" r="66" customHeight="1" ht="18.7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33" t="s">
        <v>441</v>
      </c>
      <c r="Q66" s="17"/>
      <c r="R66" s="17"/>
      <c r="S66" s="33" t="s">
        <v>442</v>
      </c>
      <c r="T66" s="17"/>
      <c r="U66" s="17"/>
      <c r="V66" s="17"/>
      <c r="W66" s="17"/>
      <c r="X66" s="17"/>
      <c r="Y66" s="17"/>
    </row>
    <row x14ac:dyDescent="0.25" r="67" customHeight="1" ht="18.7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33" t="s">
        <v>443</v>
      </c>
      <c r="Q67" s="17"/>
      <c r="R67" s="17"/>
      <c r="S67" s="33" t="s">
        <v>444</v>
      </c>
      <c r="T67" s="17"/>
      <c r="U67" s="17"/>
      <c r="V67" s="17"/>
      <c r="W67" s="17"/>
      <c r="X67" s="17"/>
      <c r="Y67" s="17"/>
    </row>
    <row x14ac:dyDescent="0.25" r="68" customHeight="1" ht="18.7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33" t="s">
        <v>445</v>
      </c>
      <c r="Q68" s="17"/>
      <c r="R68" s="17"/>
      <c r="S68" s="33" t="s">
        <v>446</v>
      </c>
      <c r="T68" s="17"/>
      <c r="U68" s="17"/>
      <c r="V68" s="17"/>
      <c r="W68" s="17"/>
      <c r="X68" s="17"/>
      <c r="Y68" s="17"/>
    </row>
    <row x14ac:dyDescent="0.25" r="69" customHeight="1" ht="18.7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33" t="s">
        <v>447</v>
      </c>
      <c r="Q69" s="17"/>
      <c r="R69" s="17"/>
      <c r="S69" s="33" t="s">
        <v>448</v>
      </c>
      <c r="T69" s="17"/>
      <c r="U69" s="17"/>
      <c r="V69" s="17"/>
      <c r="W69" s="17"/>
      <c r="X69" s="17"/>
      <c r="Y69" s="17"/>
    </row>
    <row x14ac:dyDescent="0.25" r="70" customHeight="1" ht="18.7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33" t="s">
        <v>449</v>
      </c>
      <c r="Q70" s="17"/>
      <c r="R70" s="17"/>
      <c r="S70" s="33" t="s">
        <v>450</v>
      </c>
      <c r="T70" s="17"/>
      <c r="U70" s="17"/>
      <c r="V70" s="17"/>
      <c r="W70" s="17"/>
      <c r="X70" s="17"/>
      <c r="Y70" s="17"/>
    </row>
    <row x14ac:dyDescent="0.25" r="71" customHeight="1" ht="18.7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33" t="s">
        <v>451</v>
      </c>
      <c r="Q71" s="17"/>
      <c r="R71" s="17"/>
      <c r="S71" s="33" t="s">
        <v>452</v>
      </c>
      <c r="T71" s="17"/>
      <c r="U71" s="17"/>
      <c r="V71" s="17"/>
      <c r="W71" s="17"/>
      <c r="X71" s="17"/>
      <c r="Y71" s="17"/>
    </row>
    <row x14ac:dyDescent="0.25" r="72" customHeight="1" ht="18.7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33" t="s">
        <v>453</v>
      </c>
      <c r="Q72" s="17"/>
      <c r="R72" s="17"/>
      <c r="S72" s="33" t="s">
        <v>454</v>
      </c>
      <c r="T72" s="17"/>
      <c r="U72" s="17"/>
      <c r="V72" s="17"/>
      <c r="W72" s="17"/>
      <c r="X72" s="17"/>
      <c r="Y72" s="17"/>
    </row>
    <row x14ac:dyDescent="0.25" r="73" customHeight="1" ht="18.7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33" t="s">
        <v>261</v>
      </c>
      <c r="Q73" s="17"/>
      <c r="R73" s="17"/>
      <c r="S73" s="33" t="s">
        <v>455</v>
      </c>
      <c r="T73" s="17"/>
      <c r="U73" s="17"/>
      <c r="V73" s="17"/>
      <c r="W73" s="17"/>
      <c r="X73" s="17"/>
      <c r="Y73" s="17"/>
    </row>
    <row x14ac:dyDescent="0.25" r="74" customHeight="1" ht="18.7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33" t="s">
        <v>456</v>
      </c>
      <c r="Q74" s="17"/>
      <c r="R74" s="17"/>
      <c r="S74" s="33" t="s">
        <v>457</v>
      </c>
      <c r="T74" s="17"/>
      <c r="U74" s="17"/>
      <c r="V74" s="17"/>
      <c r="W74" s="17"/>
      <c r="X74" s="17"/>
      <c r="Y74" s="17"/>
    </row>
    <row x14ac:dyDescent="0.25" r="75" customHeight="1" ht="18.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33" t="s">
        <v>458</v>
      </c>
      <c r="Q75" s="17"/>
      <c r="R75" s="17"/>
      <c r="S75" s="33" t="s">
        <v>459</v>
      </c>
      <c r="T75" s="17"/>
      <c r="U75" s="17"/>
      <c r="V75" s="17"/>
      <c r="W75" s="17"/>
      <c r="X75" s="17"/>
      <c r="Y75" s="17"/>
    </row>
    <row x14ac:dyDescent="0.25" r="76" customHeight="1" ht="18.7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33" t="s">
        <v>460</v>
      </c>
      <c r="Q76" s="17"/>
      <c r="R76" s="17"/>
      <c r="S76" s="33" t="s">
        <v>461</v>
      </c>
      <c r="T76" s="17"/>
      <c r="U76" s="17"/>
      <c r="V76" s="17"/>
      <c r="W76" s="17"/>
      <c r="X76" s="17"/>
      <c r="Y76" s="17"/>
    </row>
    <row x14ac:dyDescent="0.25" r="77" customHeight="1" ht="18.7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33" t="s">
        <v>458</v>
      </c>
      <c r="T77" s="17"/>
      <c r="U77" s="17"/>
      <c r="V77" s="17"/>
      <c r="W77" s="17"/>
      <c r="X77" s="17"/>
      <c r="Y77" s="17"/>
    </row>
    <row x14ac:dyDescent="0.25" r="78" customHeight="1" ht="18.7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33" t="s">
        <v>462</v>
      </c>
      <c r="T78" s="17"/>
      <c r="U78" s="17"/>
      <c r="V78" s="17"/>
      <c r="W78" s="17"/>
      <c r="X78" s="17"/>
      <c r="Y78" s="17"/>
    </row>
    <row x14ac:dyDescent="0.25" r="79" customHeight="1" ht="18.7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33" t="s">
        <v>463</v>
      </c>
      <c r="T79" s="17"/>
      <c r="U79" s="17"/>
      <c r="V79" s="17"/>
      <c r="W79" s="17"/>
      <c r="X79" s="17"/>
      <c r="Y79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4" width="10.005" customWidth="1" bestFit="1"/>
    <col min="2" max="2" style="15" width="12.005" customWidth="1" bestFit="1"/>
    <col min="3" max="3" style="15" width="10.005" customWidth="1" bestFit="1"/>
    <col min="4" max="4" style="15" width="18.005" customWidth="1" bestFit="1"/>
    <col min="5" max="5" style="15" width="20.005" customWidth="1" bestFit="1"/>
    <col min="6" max="6" style="15" width="14.005" customWidth="1" bestFit="1"/>
    <col min="7" max="7" style="15" width="24.005" customWidth="1" bestFit="1"/>
    <col min="8" max="8" style="15" width="34.005" customWidth="1" bestFit="1"/>
    <col min="9" max="9" style="15" width="18.005" customWidth="1" bestFit="1"/>
    <col min="10" max="10" style="15" width="18.005" customWidth="1" bestFit="1"/>
    <col min="11" max="11" style="15" width="12.005" customWidth="1" bestFit="1"/>
    <col min="12" max="12" style="15" width="16.005" customWidth="1" bestFit="1"/>
    <col min="13" max="13" style="15" width="28.005" customWidth="1" bestFit="1"/>
    <col min="14" max="14" style="15" width="42.005" customWidth="1" bestFit="1"/>
    <col min="15" max="15" style="15" width="18.005" customWidth="1" bestFit="1"/>
    <col min="16" max="16" style="15" width="14.005" customWidth="1" bestFit="1"/>
    <col min="17" max="17" style="15" width="22.005" customWidth="1" bestFit="1"/>
    <col min="18" max="18" style="15" width="40.005" customWidth="1" bestFit="1"/>
  </cols>
  <sheetData>
    <row x14ac:dyDescent="0.25" r="1" customHeight="1" ht="18.75" customFormat="1" s="5">
      <c r="A1" s="30" t="s">
        <v>97</v>
      </c>
      <c r="B1" s="30" t="s">
        <v>98</v>
      </c>
      <c r="C1" s="30" t="s">
        <v>99</v>
      </c>
      <c r="D1" s="30" t="s">
        <v>100</v>
      </c>
      <c r="E1" s="30" t="s">
        <v>101</v>
      </c>
      <c r="F1" s="30" t="s">
        <v>102</v>
      </c>
      <c r="G1" s="30" t="s">
        <v>103</v>
      </c>
      <c r="H1" s="30" t="s">
        <v>104</v>
      </c>
      <c r="I1" s="30" t="s">
        <v>105</v>
      </c>
      <c r="J1" s="30" t="s">
        <v>67</v>
      </c>
      <c r="K1" s="30" t="s">
        <v>106</v>
      </c>
      <c r="L1" s="30" t="s">
        <v>107</v>
      </c>
      <c r="M1" s="30" t="s">
        <v>1</v>
      </c>
      <c r="N1" s="30" t="s">
        <v>108</v>
      </c>
      <c r="O1" s="30" t="s">
        <v>109</v>
      </c>
      <c r="P1" s="30" t="s">
        <v>110</v>
      </c>
      <c r="Q1" s="30" t="s">
        <v>111</v>
      </c>
      <c r="R1" s="30" t="s">
        <v>112</v>
      </c>
    </row>
    <row x14ac:dyDescent="0.25" r="2" customHeight="1" ht="18.75" customFormat="1" s="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x14ac:dyDescent="0.25" r="3" customHeight="1" ht="18.75" customFormat="1" s="5">
      <c r="A3" s="31" t="s">
        <v>113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</sheetData>
  <mergeCells count="1">
    <mergeCell ref="A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8"/>
  <sheetViews>
    <sheetView workbookViewId="0"/>
  </sheetViews>
  <sheetFormatPr defaultRowHeight="15" x14ac:dyDescent="0.25"/>
  <cols>
    <col min="1" max="1" style="24" width="26.005" customWidth="1" bestFit="1"/>
    <col min="2" max="2" style="24" width="15.005" customWidth="1" bestFit="1"/>
    <col min="3" max="3" style="24" width="15.005" customWidth="1" bestFit="1"/>
    <col min="4" max="4" style="24" width="15.005" customWidth="1" bestFit="1"/>
    <col min="5" max="5" style="29" width="15.005" customWidth="1" bestFit="1"/>
    <col min="6" max="6" style="24" width="15.005" customWidth="1" bestFit="1"/>
    <col min="7" max="7" style="24" width="15.005" customWidth="1" bestFit="1"/>
    <col min="8" max="8" style="24" width="15.005" customWidth="1" bestFit="1"/>
  </cols>
  <sheetData>
    <row x14ac:dyDescent="0.25" r="1" customHeight="1" ht="18.75">
      <c r="A1" s="16" t="s">
        <v>60</v>
      </c>
      <c r="B1" s="17"/>
      <c r="C1" s="17"/>
      <c r="D1" s="17"/>
      <c r="E1" s="25"/>
      <c r="F1" s="17"/>
      <c r="G1" s="17"/>
      <c r="H1" s="17"/>
    </row>
    <row x14ac:dyDescent="0.25" r="2" customHeight="1" ht="18.75">
      <c r="A2" s="17"/>
      <c r="B2" s="17"/>
      <c r="C2" s="17"/>
      <c r="D2" s="17"/>
      <c r="E2" s="25"/>
      <c r="F2" s="17"/>
      <c r="G2" s="17"/>
      <c r="H2" s="17"/>
    </row>
    <row x14ac:dyDescent="0.25" r="3" customHeight="1" ht="18.75">
      <c r="A3" s="19" t="s">
        <v>61</v>
      </c>
      <c r="B3" s="17"/>
      <c r="C3" s="19" t="s">
        <v>62</v>
      </c>
      <c r="D3" s="17"/>
      <c r="E3" s="19" t="s">
        <v>56</v>
      </c>
      <c r="F3" s="17"/>
      <c r="G3" s="19" t="s">
        <v>57</v>
      </c>
      <c r="H3" s="17"/>
    </row>
    <row x14ac:dyDescent="0.25" r="4" customHeight="1" ht="18.75">
      <c r="A4" s="20">
        <f>COUNTA(SCOUT!A5:A104)</f>
      </c>
      <c r="B4" s="17"/>
      <c r="C4" s="20">
        <f>COUNTIF(SCOUT!BA5:BA104,"Gol 1 ponto")</f>
      </c>
      <c r="D4" s="17"/>
      <c r="E4" s="20">
        <f>COUNTIF(SCOUT!BA5:BA104,"Gol 2 pontos")</f>
      </c>
      <c r="F4" s="17"/>
      <c r="G4" s="20">
        <f>COUNTIF(SCOUT!BA5:BA104,"Recupera&amp;#231;&amp;#227;o de bola")</f>
      </c>
      <c r="H4" s="17"/>
    </row>
    <row x14ac:dyDescent="0.25" r="5" customHeight="1" ht="18.75">
      <c r="A5" s="17"/>
      <c r="B5" s="17"/>
      <c r="C5" s="17"/>
      <c r="D5" s="17"/>
      <c r="E5" s="25"/>
      <c r="F5" s="17"/>
      <c r="G5" s="17"/>
      <c r="H5" s="17"/>
    </row>
    <row x14ac:dyDescent="0.25" r="6" customHeight="1" ht="18.75">
      <c r="A6" s="19" t="s">
        <v>63</v>
      </c>
      <c r="B6" s="17"/>
      <c r="C6" s="19" t="s">
        <v>64</v>
      </c>
      <c r="D6" s="17"/>
      <c r="E6" s="19" t="s">
        <v>65</v>
      </c>
      <c r="F6" s="17"/>
      <c r="G6" s="19" t="s">
        <v>58</v>
      </c>
      <c r="H6" s="17"/>
    </row>
    <row x14ac:dyDescent="0.25" r="7" customHeight="1" ht="18.75">
      <c r="A7" s="20">
        <f>COUNTIF(BASE_ATLETAS_EVENTOS!M:M,"2 - Erro t&amp;#233;cnico")</f>
      </c>
      <c r="B7" s="17"/>
      <c r="C7" s="20">
        <f>COUNTIF(BASE_ATLETAS_EVENTOS!M:M,"3 - Assist&amp;#234;ncia / a&amp;#231;&amp;#227;o que gera finaliza&amp;#231;&amp;#227;o")</f>
      </c>
      <c r="D7" s="17"/>
      <c r="E7" s="20">
        <f>COUNTIF(BASE_ATLETAS_EVENTOS!M:M,"6 - Falta / infra&amp;#231;&amp;#227;o / a&amp;#231;&amp;#227;o irregular")</f>
      </c>
      <c r="F7" s="17"/>
      <c r="G7" s="20">
        <f>COUNTIF(SCOUT!BC5:BC104,"Sim")+COUNTIF(SCOUT!AZ5:AZ104,"Revisar")</f>
      </c>
      <c r="H7" s="17"/>
    </row>
    <row x14ac:dyDescent="0.25" r="8" customHeight="1" ht="18.75">
      <c r="A8" s="17"/>
      <c r="B8" s="17"/>
      <c r="C8" s="17"/>
      <c r="D8" s="17"/>
      <c r="E8" s="25"/>
      <c r="F8" s="17"/>
      <c r="G8" s="17"/>
      <c r="H8" s="17"/>
    </row>
    <row x14ac:dyDescent="0.25" r="9" customHeight="1" ht="18.75">
      <c r="A9" s="17"/>
      <c r="B9" s="17"/>
      <c r="C9" s="17"/>
      <c r="D9" s="17"/>
      <c r="E9" s="25"/>
      <c r="F9" s="17"/>
      <c r="G9" s="17"/>
      <c r="H9" s="17"/>
    </row>
    <row x14ac:dyDescent="0.25" r="10" customHeight="1" ht="18.75">
      <c r="A10" s="17"/>
      <c r="B10" s="17"/>
      <c r="C10" s="17"/>
      <c r="D10" s="17"/>
      <c r="E10" s="25"/>
      <c r="F10" s="17"/>
      <c r="G10" s="17"/>
      <c r="H10" s="17"/>
    </row>
    <row x14ac:dyDescent="0.25" r="11" customHeight="1" ht="18.75">
      <c r="A11" s="21" t="s">
        <v>66</v>
      </c>
      <c r="B11" s="17"/>
      <c r="C11" s="17"/>
      <c r="D11" s="17"/>
      <c r="E11" s="25"/>
      <c r="F11" s="17"/>
      <c r="G11" s="17"/>
      <c r="H11" s="17"/>
    </row>
    <row x14ac:dyDescent="0.25" r="12" customHeight="1" ht="18.75">
      <c r="A12" s="26" t="s">
        <v>67</v>
      </c>
      <c r="B12" s="26" t="s">
        <v>68</v>
      </c>
      <c r="C12" s="26" t="s">
        <v>69</v>
      </c>
      <c r="D12" s="26" t="s">
        <v>63</v>
      </c>
      <c r="E12" s="26" t="s">
        <v>64</v>
      </c>
      <c r="F12" s="26" t="s">
        <v>70</v>
      </c>
      <c r="G12" s="26" t="s">
        <v>57</v>
      </c>
      <c r="H12" s="26" t="s">
        <v>65</v>
      </c>
    </row>
    <row x14ac:dyDescent="0.25" r="13" customHeight="1" ht="18.75">
      <c r="A13" s="17" t="s">
        <v>71</v>
      </c>
      <c r="B13" s="23">
        <f>COUNTIF(BASE_ATLETAS_EVENTOS!J:J,A13)</f>
      </c>
      <c r="C13" s="23">
        <f>COUNTIFS(BASE_ATLETAS_EVENTOS!J:J,A13,BASE_ATLETAS_EVENTOS!M:M,"1 - A&amp;#231;&amp;#227;o t&amp;#233;cnica assertiva")</f>
      </c>
      <c r="D13" s="23">
        <f>COUNTIFS(BASE_ATLETAS_EVENTOS!J:J,A13,BASE_ATLETAS_EVENTOS!M:M,"2 - Erro t&amp;#233;cnico")</f>
      </c>
      <c r="E13" s="27">
        <f>COUNTIFS(BASE_ATLETAS_EVENTOS!J:J,A13,BASE_ATLETAS_EVENTOS!M:M,"3 - Assist&amp;#234;ncia / a&amp;#231;&amp;#227;o que gera finaliza&amp;#231;&amp;#227;o")</f>
      </c>
      <c r="F13" s="23">
        <f>COUNTIFS(BASE_ATLETAS_EVENTOS!J:J,A13,BASE_ATLETAS_EVENTOS!M:M,"4 - Erro de decis&amp;#227;o")</f>
      </c>
      <c r="G13" s="23">
        <f>COUNTIFS(BASE_ATLETAS_EVENTOS!J:J,A13,BASE_ATLETAS_EVENTOS!M:M,"5 - Recupera&amp;#231;&amp;#227;o / a&amp;#231;&amp;#227;o defensiva positiva")</f>
      </c>
      <c r="H13" s="23">
        <f>COUNTIFS(BASE_ATLETAS_EVENTOS!J:J,A13,BASE_ATLETAS_EVENTOS!M:M,"6 - Falta / infra&amp;#231;&amp;#227;o / a&amp;#231;&amp;#227;o irregular")</f>
      </c>
    </row>
    <row x14ac:dyDescent="0.25" r="14" customHeight="1" ht="18.75">
      <c r="A14" s="17" t="s">
        <v>72</v>
      </c>
      <c r="B14" s="23">
        <f>COUNTIF(BASE_ATLETAS_EVENTOS!J:J,A14)</f>
      </c>
      <c r="C14" s="23">
        <f>COUNTIFS(BASE_ATLETAS_EVENTOS!J:J,A14,BASE_ATLETAS_EVENTOS!M:M,"1 - A&amp;#231;&amp;#227;o t&amp;#233;cnica assertiva")</f>
      </c>
      <c r="D14" s="23">
        <f>COUNTIFS(BASE_ATLETAS_EVENTOS!J:J,A14,BASE_ATLETAS_EVENTOS!M:M,"2 - Erro t&amp;#233;cnico")</f>
      </c>
      <c r="E14" s="27">
        <f>COUNTIFS(BASE_ATLETAS_EVENTOS!J:J,A14,BASE_ATLETAS_EVENTOS!M:M,"3 - Assist&amp;#234;ncia / a&amp;#231;&amp;#227;o que gera finaliza&amp;#231;&amp;#227;o")</f>
      </c>
      <c r="F14" s="23">
        <f>COUNTIFS(BASE_ATLETAS_EVENTOS!J:J,A14,BASE_ATLETAS_EVENTOS!M:M,"4 - Erro de decis&amp;#227;o")</f>
      </c>
      <c r="G14" s="23">
        <f>COUNTIFS(BASE_ATLETAS_EVENTOS!J:J,A14,BASE_ATLETAS_EVENTOS!M:M,"5 - Recupera&amp;#231;&amp;#227;o / a&amp;#231;&amp;#227;o defensiva positiva")</f>
      </c>
      <c r="H14" s="23">
        <f>COUNTIFS(BASE_ATLETAS_EVENTOS!J:J,A14,BASE_ATLETAS_EVENTOS!M:M,"6 - Falta / infra&amp;#231;&amp;#227;o / a&amp;#231;&amp;#227;o irregular")</f>
      </c>
    </row>
    <row x14ac:dyDescent="0.25" r="15" customHeight="1" ht="18.75">
      <c r="A15" s="17" t="s">
        <v>73</v>
      </c>
      <c r="B15" s="23">
        <f>COUNTIF(BASE_ATLETAS_EVENTOS!J:J,A15)</f>
      </c>
      <c r="C15" s="23">
        <f>COUNTIFS(BASE_ATLETAS_EVENTOS!J:J,A15,BASE_ATLETAS_EVENTOS!M:M,"1 - A&amp;#231;&amp;#227;o t&amp;#233;cnica assertiva")</f>
      </c>
      <c r="D15" s="23">
        <f>COUNTIFS(BASE_ATLETAS_EVENTOS!J:J,A15,BASE_ATLETAS_EVENTOS!M:M,"2 - Erro t&amp;#233;cnico")</f>
      </c>
      <c r="E15" s="27">
        <f>COUNTIFS(BASE_ATLETAS_EVENTOS!J:J,A15,BASE_ATLETAS_EVENTOS!M:M,"3 - Assist&amp;#234;ncia / a&amp;#231;&amp;#227;o que gera finaliza&amp;#231;&amp;#227;o")</f>
      </c>
      <c r="F15" s="23">
        <f>COUNTIFS(BASE_ATLETAS_EVENTOS!J:J,A15,BASE_ATLETAS_EVENTOS!M:M,"4 - Erro de decis&amp;#227;o")</f>
      </c>
      <c r="G15" s="23">
        <f>COUNTIFS(BASE_ATLETAS_EVENTOS!J:J,A15,BASE_ATLETAS_EVENTOS!M:M,"5 - Recupera&amp;#231;&amp;#227;o / a&amp;#231;&amp;#227;o defensiva positiva")</f>
      </c>
      <c r="H15" s="23">
        <f>COUNTIFS(BASE_ATLETAS_EVENTOS!J:J,A15,BASE_ATLETAS_EVENTOS!M:M,"6 - Falta / infra&amp;#231;&amp;#227;o / a&amp;#231;&amp;#227;o irregular")</f>
      </c>
    </row>
    <row x14ac:dyDescent="0.25" r="16" customHeight="1" ht="18.75">
      <c r="A16" s="17" t="s">
        <v>74</v>
      </c>
      <c r="B16" s="23">
        <f>COUNTIF(BASE_ATLETAS_EVENTOS!J:J,A16)</f>
      </c>
      <c r="C16" s="23">
        <f>COUNTIFS(BASE_ATLETAS_EVENTOS!J:J,A16,BASE_ATLETAS_EVENTOS!M:M,"1 - A&amp;#231;&amp;#227;o t&amp;#233;cnica assertiva")</f>
      </c>
      <c r="D16" s="23">
        <f>COUNTIFS(BASE_ATLETAS_EVENTOS!J:J,A16,BASE_ATLETAS_EVENTOS!M:M,"2 - Erro t&amp;#233;cnico")</f>
      </c>
      <c r="E16" s="27">
        <f>COUNTIFS(BASE_ATLETAS_EVENTOS!J:J,A16,BASE_ATLETAS_EVENTOS!M:M,"3 - Assist&amp;#234;ncia / a&amp;#231;&amp;#227;o que gera finaliza&amp;#231;&amp;#227;o")</f>
      </c>
      <c r="F16" s="23">
        <f>COUNTIFS(BASE_ATLETAS_EVENTOS!J:J,A16,BASE_ATLETAS_EVENTOS!M:M,"4 - Erro de decis&amp;#227;o")</f>
      </c>
      <c r="G16" s="23">
        <f>COUNTIFS(BASE_ATLETAS_EVENTOS!J:J,A16,BASE_ATLETAS_EVENTOS!M:M,"5 - Recupera&amp;#231;&amp;#227;o / a&amp;#231;&amp;#227;o defensiva positiva")</f>
      </c>
      <c r="H16" s="23">
        <f>COUNTIFS(BASE_ATLETAS_EVENTOS!J:J,A16,BASE_ATLETAS_EVENTOS!M:M,"6 - Falta / infra&amp;#231;&amp;#227;o / a&amp;#231;&amp;#227;o irregular")</f>
      </c>
    </row>
    <row x14ac:dyDescent="0.25" r="17" customHeight="1" ht="18.75">
      <c r="A17" s="17" t="s">
        <v>75</v>
      </c>
      <c r="B17" s="23">
        <f>COUNTIF(BASE_ATLETAS_EVENTOS!J:J,A17)</f>
      </c>
      <c r="C17" s="23">
        <f>COUNTIFS(BASE_ATLETAS_EVENTOS!J:J,A17,BASE_ATLETAS_EVENTOS!M:M,"1 - A&amp;#231;&amp;#227;o t&amp;#233;cnica assertiva")</f>
      </c>
      <c r="D17" s="23">
        <f>COUNTIFS(BASE_ATLETAS_EVENTOS!J:J,A17,BASE_ATLETAS_EVENTOS!M:M,"2 - Erro t&amp;#233;cnico")</f>
      </c>
      <c r="E17" s="27">
        <f>COUNTIFS(BASE_ATLETAS_EVENTOS!J:J,A17,BASE_ATLETAS_EVENTOS!M:M,"3 - Assist&amp;#234;ncia / a&amp;#231;&amp;#227;o que gera finaliza&amp;#231;&amp;#227;o")</f>
      </c>
      <c r="F17" s="23">
        <f>COUNTIFS(BASE_ATLETAS_EVENTOS!J:J,A17,BASE_ATLETAS_EVENTOS!M:M,"4 - Erro de decis&amp;#227;o")</f>
      </c>
      <c r="G17" s="23">
        <f>COUNTIFS(BASE_ATLETAS_EVENTOS!J:J,A17,BASE_ATLETAS_EVENTOS!M:M,"5 - Recupera&amp;#231;&amp;#227;o / a&amp;#231;&amp;#227;o defensiva positiva")</f>
      </c>
      <c r="H17" s="23">
        <f>COUNTIFS(BASE_ATLETAS_EVENTOS!J:J,A17,BASE_ATLETAS_EVENTOS!M:M,"6 - Falta / infra&amp;#231;&amp;#227;o / a&amp;#231;&amp;#227;o irregular")</f>
      </c>
    </row>
    <row x14ac:dyDescent="0.25" r="18" customHeight="1" ht="18.75">
      <c r="A18" s="17" t="s">
        <v>76</v>
      </c>
      <c r="B18" s="23">
        <f>COUNTIF(BASE_ATLETAS_EVENTOS!J:J,A18)</f>
      </c>
      <c r="C18" s="23">
        <f>COUNTIFS(BASE_ATLETAS_EVENTOS!J:J,A18,BASE_ATLETAS_EVENTOS!M:M,"1 - A&amp;#231;&amp;#227;o t&amp;#233;cnica assertiva")</f>
      </c>
      <c r="D18" s="23">
        <f>COUNTIFS(BASE_ATLETAS_EVENTOS!J:J,A18,BASE_ATLETAS_EVENTOS!M:M,"2 - Erro t&amp;#233;cnico")</f>
      </c>
      <c r="E18" s="27">
        <f>COUNTIFS(BASE_ATLETAS_EVENTOS!J:J,A18,BASE_ATLETAS_EVENTOS!M:M,"3 - Assist&amp;#234;ncia / a&amp;#231;&amp;#227;o que gera finaliza&amp;#231;&amp;#227;o")</f>
      </c>
      <c r="F18" s="23">
        <f>COUNTIFS(BASE_ATLETAS_EVENTOS!J:J,A18,BASE_ATLETAS_EVENTOS!M:M,"4 - Erro de decis&amp;#227;o")</f>
      </c>
      <c r="G18" s="23">
        <f>COUNTIFS(BASE_ATLETAS_EVENTOS!J:J,A18,BASE_ATLETAS_EVENTOS!M:M,"5 - Recupera&amp;#231;&amp;#227;o / a&amp;#231;&amp;#227;o defensiva positiva")</f>
      </c>
      <c r="H18" s="23">
        <f>COUNTIFS(BASE_ATLETAS_EVENTOS!J:J,A18,BASE_ATLETAS_EVENTOS!M:M,"6 - Falta / infra&amp;#231;&amp;#227;o / a&amp;#231;&amp;#227;o irregular")</f>
      </c>
    </row>
    <row x14ac:dyDescent="0.25" r="19" customHeight="1" ht="18.75">
      <c r="A19" s="17" t="s">
        <v>77</v>
      </c>
      <c r="B19" s="23">
        <f>COUNTIF(BASE_ATLETAS_EVENTOS!J:J,A19)</f>
      </c>
      <c r="C19" s="23">
        <f>COUNTIFS(BASE_ATLETAS_EVENTOS!J:J,A19,BASE_ATLETAS_EVENTOS!M:M,"1 - A&amp;#231;&amp;#227;o t&amp;#233;cnica assertiva")</f>
      </c>
      <c r="D19" s="23">
        <f>COUNTIFS(BASE_ATLETAS_EVENTOS!J:J,A19,BASE_ATLETAS_EVENTOS!M:M,"2 - Erro t&amp;#233;cnico")</f>
      </c>
      <c r="E19" s="27">
        <f>COUNTIFS(BASE_ATLETAS_EVENTOS!J:J,A19,BASE_ATLETAS_EVENTOS!M:M,"3 - Assist&amp;#234;ncia / a&amp;#231;&amp;#227;o que gera finaliza&amp;#231;&amp;#227;o")</f>
      </c>
      <c r="F19" s="23">
        <f>COUNTIFS(BASE_ATLETAS_EVENTOS!J:J,A19,BASE_ATLETAS_EVENTOS!M:M,"4 - Erro de decis&amp;#227;o")</f>
      </c>
      <c r="G19" s="23">
        <f>COUNTIFS(BASE_ATLETAS_EVENTOS!J:J,A19,BASE_ATLETAS_EVENTOS!M:M,"5 - Recupera&amp;#231;&amp;#227;o / a&amp;#231;&amp;#227;o defensiva positiva")</f>
      </c>
      <c r="H19" s="23">
        <f>COUNTIFS(BASE_ATLETAS_EVENTOS!J:J,A19,BASE_ATLETAS_EVENTOS!M:M,"6 - Falta / infra&amp;#231;&amp;#227;o / a&amp;#231;&amp;#227;o irregular")</f>
      </c>
    </row>
    <row x14ac:dyDescent="0.25" r="20" customHeight="1" ht="18.75">
      <c r="A20" s="17" t="s">
        <v>78</v>
      </c>
      <c r="B20" s="23">
        <f>COUNTIF(BASE_ATLETAS_EVENTOS!J:J,A20)</f>
      </c>
      <c r="C20" s="23">
        <f>COUNTIFS(BASE_ATLETAS_EVENTOS!J:J,A20,BASE_ATLETAS_EVENTOS!M:M,"1 - A&amp;#231;&amp;#227;o t&amp;#233;cnica assertiva")</f>
      </c>
      <c r="D20" s="23">
        <f>COUNTIFS(BASE_ATLETAS_EVENTOS!J:J,A20,BASE_ATLETAS_EVENTOS!M:M,"2 - Erro t&amp;#233;cnico")</f>
      </c>
      <c r="E20" s="27">
        <f>COUNTIFS(BASE_ATLETAS_EVENTOS!J:J,A20,BASE_ATLETAS_EVENTOS!M:M,"3 - Assist&amp;#234;ncia / a&amp;#231;&amp;#227;o que gera finaliza&amp;#231;&amp;#227;o")</f>
      </c>
      <c r="F20" s="23">
        <f>COUNTIFS(BASE_ATLETAS_EVENTOS!J:J,A20,BASE_ATLETAS_EVENTOS!M:M,"4 - Erro de decis&amp;#227;o")</f>
      </c>
      <c r="G20" s="23">
        <f>COUNTIFS(BASE_ATLETAS_EVENTOS!J:J,A20,BASE_ATLETAS_EVENTOS!M:M,"5 - Recupera&amp;#231;&amp;#227;o / a&amp;#231;&amp;#227;o defensiva positiva")</f>
      </c>
      <c r="H20" s="23">
        <f>COUNTIFS(BASE_ATLETAS_EVENTOS!J:J,A20,BASE_ATLETAS_EVENTOS!M:M,"6 - Falta / infra&amp;#231;&amp;#227;o / a&amp;#231;&amp;#227;o irregular")</f>
      </c>
    </row>
    <row x14ac:dyDescent="0.25" r="21" customHeight="1" ht="18.75">
      <c r="A21" s="17" t="s">
        <v>79</v>
      </c>
      <c r="B21" s="23">
        <f>COUNTIF(BASE_ATLETAS_EVENTOS!J:J,A21)</f>
      </c>
      <c r="C21" s="23">
        <f>COUNTIFS(BASE_ATLETAS_EVENTOS!J:J,A21,BASE_ATLETAS_EVENTOS!M:M,"1 - A&amp;#231;&amp;#227;o t&amp;#233;cnica assertiva")</f>
      </c>
      <c r="D21" s="23">
        <f>COUNTIFS(BASE_ATLETAS_EVENTOS!J:J,A21,BASE_ATLETAS_EVENTOS!M:M,"2 - Erro t&amp;#233;cnico")</f>
      </c>
      <c r="E21" s="27">
        <f>COUNTIFS(BASE_ATLETAS_EVENTOS!J:J,A21,BASE_ATLETAS_EVENTOS!M:M,"3 - Assist&amp;#234;ncia / a&amp;#231;&amp;#227;o que gera finaliza&amp;#231;&amp;#227;o")</f>
      </c>
      <c r="F21" s="23">
        <f>COUNTIFS(BASE_ATLETAS_EVENTOS!J:J,A21,BASE_ATLETAS_EVENTOS!M:M,"4 - Erro de decis&amp;#227;o")</f>
      </c>
      <c r="G21" s="23">
        <f>COUNTIFS(BASE_ATLETAS_EVENTOS!J:J,A21,BASE_ATLETAS_EVENTOS!M:M,"5 - Recupera&amp;#231;&amp;#227;o / a&amp;#231;&amp;#227;o defensiva positiva")</f>
      </c>
      <c r="H21" s="23">
        <f>COUNTIFS(BASE_ATLETAS_EVENTOS!J:J,A21,BASE_ATLETAS_EVENTOS!M:M,"6 - Falta / infra&amp;#231;&amp;#227;o / a&amp;#231;&amp;#227;o irregular")</f>
      </c>
    </row>
    <row x14ac:dyDescent="0.25" r="22" customHeight="1" ht="18.75">
      <c r="A22" s="17" t="s">
        <v>80</v>
      </c>
      <c r="B22" s="23">
        <f>COUNTIF(BASE_ATLETAS_EVENTOS!J:J,A22)</f>
      </c>
      <c r="C22" s="23">
        <f>COUNTIFS(BASE_ATLETAS_EVENTOS!J:J,A22,BASE_ATLETAS_EVENTOS!M:M,"1 - A&amp;#231;&amp;#227;o t&amp;#233;cnica assertiva")</f>
      </c>
      <c r="D22" s="23">
        <f>COUNTIFS(BASE_ATLETAS_EVENTOS!J:J,A22,BASE_ATLETAS_EVENTOS!M:M,"2 - Erro t&amp;#233;cnico")</f>
      </c>
      <c r="E22" s="27">
        <f>COUNTIFS(BASE_ATLETAS_EVENTOS!J:J,A22,BASE_ATLETAS_EVENTOS!M:M,"3 - Assist&amp;#234;ncia / a&amp;#231;&amp;#227;o que gera finaliza&amp;#231;&amp;#227;o")</f>
      </c>
      <c r="F22" s="23">
        <f>COUNTIFS(BASE_ATLETAS_EVENTOS!J:J,A22,BASE_ATLETAS_EVENTOS!M:M,"4 - Erro de decis&amp;#227;o")</f>
      </c>
      <c r="G22" s="23">
        <f>COUNTIFS(BASE_ATLETAS_EVENTOS!J:J,A22,BASE_ATLETAS_EVENTOS!M:M,"5 - Recupera&amp;#231;&amp;#227;o / a&amp;#231;&amp;#227;o defensiva positiva")</f>
      </c>
      <c r="H22" s="23">
        <f>COUNTIFS(BASE_ATLETAS_EVENTOS!J:J,A22,BASE_ATLETAS_EVENTOS!M:M,"6 - Falta / infra&amp;#231;&amp;#227;o / a&amp;#231;&amp;#227;o irregular")</f>
      </c>
    </row>
    <row x14ac:dyDescent="0.25" r="23" customHeight="1" ht="18.75">
      <c r="A23" s="17" t="s">
        <v>81</v>
      </c>
      <c r="B23" s="23">
        <f>COUNTIF(BASE_ATLETAS_EVENTOS!J:J,A23)</f>
      </c>
      <c r="C23" s="23">
        <f>COUNTIFS(BASE_ATLETAS_EVENTOS!J:J,A23,BASE_ATLETAS_EVENTOS!M:M,"1 - A&amp;#231;&amp;#227;o t&amp;#233;cnica assertiva")</f>
      </c>
      <c r="D23" s="23">
        <f>COUNTIFS(BASE_ATLETAS_EVENTOS!J:J,A23,BASE_ATLETAS_EVENTOS!M:M,"2 - Erro t&amp;#233;cnico")</f>
      </c>
      <c r="E23" s="27">
        <f>COUNTIFS(BASE_ATLETAS_EVENTOS!J:J,A23,BASE_ATLETAS_EVENTOS!M:M,"3 - Assist&amp;#234;ncia / a&amp;#231;&amp;#227;o que gera finaliza&amp;#231;&amp;#227;o")</f>
      </c>
      <c r="F23" s="23">
        <f>COUNTIFS(BASE_ATLETAS_EVENTOS!J:J,A23,BASE_ATLETAS_EVENTOS!M:M,"4 - Erro de decis&amp;#227;o")</f>
      </c>
      <c r="G23" s="23">
        <f>COUNTIFS(BASE_ATLETAS_EVENTOS!J:J,A23,BASE_ATLETAS_EVENTOS!M:M,"5 - Recupera&amp;#231;&amp;#227;o / a&amp;#231;&amp;#227;o defensiva positiva")</f>
      </c>
      <c r="H23" s="23">
        <f>COUNTIFS(BASE_ATLETAS_EVENTOS!J:J,A23,BASE_ATLETAS_EVENTOS!M:M,"6 - Falta / infra&amp;#231;&amp;#227;o / a&amp;#231;&amp;#227;o irregular")</f>
      </c>
    </row>
    <row x14ac:dyDescent="0.25" r="24" customHeight="1" ht="18.75">
      <c r="A24" s="17" t="s">
        <v>82</v>
      </c>
      <c r="B24" s="23">
        <f>COUNTIF(BASE_ATLETAS_EVENTOS!J:J,A24)</f>
      </c>
      <c r="C24" s="23">
        <f>COUNTIFS(BASE_ATLETAS_EVENTOS!J:J,A24,BASE_ATLETAS_EVENTOS!M:M,"1 - A&amp;#231;&amp;#227;o t&amp;#233;cnica assertiva")</f>
      </c>
      <c r="D24" s="23">
        <f>COUNTIFS(BASE_ATLETAS_EVENTOS!J:J,A24,BASE_ATLETAS_EVENTOS!M:M,"2 - Erro t&amp;#233;cnico")</f>
      </c>
      <c r="E24" s="27">
        <f>COUNTIFS(BASE_ATLETAS_EVENTOS!J:J,A24,BASE_ATLETAS_EVENTOS!M:M,"3 - Assist&amp;#234;ncia / a&amp;#231;&amp;#227;o que gera finaliza&amp;#231;&amp;#227;o")</f>
      </c>
      <c r="F24" s="23">
        <f>COUNTIFS(BASE_ATLETAS_EVENTOS!J:J,A24,BASE_ATLETAS_EVENTOS!M:M,"4 - Erro de decis&amp;#227;o")</f>
      </c>
      <c r="G24" s="23">
        <f>COUNTIFS(BASE_ATLETAS_EVENTOS!J:J,A24,BASE_ATLETAS_EVENTOS!M:M,"5 - Recupera&amp;#231;&amp;#227;o / a&amp;#231;&amp;#227;o defensiva positiva")</f>
      </c>
      <c r="H24" s="23">
        <f>COUNTIFS(BASE_ATLETAS_EVENTOS!J:J,A24,BASE_ATLETAS_EVENTOS!M:M,"6 - Falta / infra&amp;#231;&amp;#227;o / a&amp;#231;&amp;#227;o irregular")</f>
      </c>
    </row>
    <row x14ac:dyDescent="0.25" r="25" customHeight="1" ht="18.75">
      <c r="A25" s="17" t="s">
        <v>83</v>
      </c>
      <c r="B25" s="23">
        <f>COUNTIF(BASE_ATLETAS_EVENTOS!J:J,A25)</f>
      </c>
      <c r="C25" s="23">
        <f>COUNTIFS(BASE_ATLETAS_EVENTOS!J:J,A25,BASE_ATLETAS_EVENTOS!M:M,"1 - A&amp;#231;&amp;#227;o t&amp;#233;cnica assertiva")</f>
      </c>
      <c r="D25" s="23">
        <f>COUNTIFS(BASE_ATLETAS_EVENTOS!J:J,A25,BASE_ATLETAS_EVENTOS!M:M,"2 - Erro t&amp;#233;cnico")</f>
      </c>
      <c r="E25" s="27">
        <f>COUNTIFS(BASE_ATLETAS_EVENTOS!J:J,A25,BASE_ATLETAS_EVENTOS!M:M,"3 - Assist&amp;#234;ncia / a&amp;#231;&amp;#227;o que gera finaliza&amp;#231;&amp;#227;o")</f>
      </c>
      <c r="F25" s="23">
        <f>COUNTIFS(BASE_ATLETAS_EVENTOS!J:J,A25,BASE_ATLETAS_EVENTOS!M:M,"4 - Erro de decis&amp;#227;o")</f>
      </c>
      <c r="G25" s="23">
        <f>COUNTIFS(BASE_ATLETAS_EVENTOS!J:J,A25,BASE_ATLETAS_EVENTOS!M:M,"5 - Recupera&amp;#231;&amp;#227;o / a&amp;#231;&amp;#227;o defensiva positiva")</f>
      </c>
      <c r="H25" s="23">
        <f>COUNTIFS(BASE_ATLETAS_EVENTOS!J:J,A25,BASE_ATLETAS_EVENTOS!M:M,"6 - Falta / infra&amp;#231;&amp;#227;o / a&amp;#231;&amp;#227;o irregular")</f>
      </c>
    </row>
    <row x14ac:dyDescent="0.25" r="26" customHeight="1" ht="18.75">
      <c r="A26" s="17"/>
      <c r="B26" s="17"/>
      <c r="C26" s="17"/>
      <c r="D26" s="17"/>
      <c r="E26" s="25"/>
      <c r="F26" s="17"/>
      <c r="G26" s="17"/>
      <c r="H26" s="17"/>
    </row>
    <row x14ac:dyDescent="0.25" r="27" customHeight="1" ht="18.75">
      <c r="A27" s="17"/>
      <c r="B27" s="17"/>
      <c r="C27" s="17"/>
      <c r="D27" s="17"/>
      <c r="E27" s="25"/>
      <c r="F27" s="17"/>
      <c r="G27" s="17"/>
      <c r="H27" s="17"/>
    </row>
    <row x14ac:dyDescent="0.25" r="28" customHeight="1" ht="18.75">
      <c r="A28" s="17"/>
      <c r="B28" s="17"/>
      <c r="C28" s="17"/>
      <c r="D28" s="17"/>
      <c r="E28" s="25"/>
      <c r="F28" s="17"/>
      <c r="G28" s="17"/>
      <c r="H28" s="17"/>
    </row>
    <row x14ac:dyDescent="0.25" r="29" customHeight="1" ht="18.75">
      <c r="A29" s="21" t="s">
        <v>84</v>
      </c>
      <c r="B29" s="17"/>
      <c r="C29" s="17"/>
      <c r="D29" s="17"/>
      <c r="E29" s="25"/>
      <c r="F29" s="17"/>
      <c r="G29" s="17"/>
      <c r="H29" s="17"/>
    </row>
    <row x14ac:dyDescent="0.25" r="30" customHeight="1" ht="18.75">
      <c r="A30" s="26" t="s">
        <v>85</v>
      </c>
      <c r="B30" s="26" t="s">
        <v>55</v>
      </c>
      <c r="C30" s="26" t="s">
        <v>86</v>
      </c>
      <c r="D30" s="26" t="s">
        <v>87</v>
      </c>
      <c r="E30" s="26" t="s">
        <v>88</v>
      </c>
      <c r="F30" s="17"/>
      <c r="G30" s="17"/>
      <c r="H30" s="17"/>
    </row>
    <row x14ac:dyDescent="0.25" r="31" customHeight="1" ht="18.75">
      <c r="A31" s="17" t="s">
        <v>89</v>
      </c>
      <c r="B31" s="23">
        <f>COUNTIF(SCOUT!L:L,A31)</f>
      </c>
      <c r="C31" s="23">
        <f>COUNTIFS(SCOUT!L:L,A31,SCOUT!BA:BA,"Gol 1 ponto")+COUNTIFS(SCOUT!L:L,A31,SCOUT!BA:BA,"Gol 2 pontos")</f>
      </c>
      <c r="D31" s="23">
        <f>COUNTIFS(SCOUT!L:L,A31,SCOUT!BA:BA,"Perda de bola")+COUNTIFS(SCOUT!L:L,A31,SCOUT!BA:BA,"Erro de substitui&amp;#231;&amp;#227;o")</f>
      </c>
      <c r="E31" s="28">
        <f>IFERROR(C31/B31,0)</f>
      </c>
      <c r="F31" s="17"/>
      <c r="G31" s="17"/>
      <c r="H31" s="17"/>
    </row>
    <row x14ac:dyDescent="0.25" r="32" customHeight="1" ht="18.75">
      <c r="A32" s="17" t="s">
        <v>90</v>
      </c>
      <c r="B32" s="23">
        <f>COUNTIF(SCOUT!L:L,A32)</f>
      </c>
      <c r="C32" s="23">
        <f>COUNTIFS(SCOUT!L:L,A32,SCOUT!BA:BA,"Gol 1 ponto")+COUNTIFS(SCOUT!L:L,A32,SCOUT!BA:BA,"Gol 2 pontos")</f>
      </c>
      <c r="D32" s="23">
        <f>COUNTIFS(SCOUT!L:L,A32,SCOUT!BA:BA,"Perda de bola")+COUNTIFS(SCOUT!L:L,A32,SCOUT!BA:BA,"Erro de substitui&amp;#231;&amp;#227;o")</f>
      </c>
      <c r="E32" s="28">
        <f>IFERROR(C32/B32,0)</f>
      </c>
      <c r="F32" s="17"/>
      <c r="G32" s="17"/>
      <c r="H32" s="17"/>
    </row>
    <row x14ac:dyDescent="0.25" r="33" customHeight="1" ht="18.75">
      <c r="A33" s="17" t="s">
        <v>91</v>
      </c>
      <c r="B33" s="23">
        <f>COUNTIF(SCOUT!L:L,A33)</f>
      </c>
      <c r="C33" s="23">
        <f>COUNTIFS(SCOUT!L:L,A33,SCOUT!BA:BA,"Gol 1 ponto")+COUNTIFS(SCOUT!L:L,A33,SCOUT!BA:BA,"Gol 2 pontos")</f>
      </c>
      <c r="D33" s="23">
        <f>COUNTIFS(SCOUT!L:L,A33,SCOUT!BA:BA,"Perda de bola")+COUNTIFS(SCOUT!L:L,A33,SCOUT!BA:BA,"Erro de substitui&amp;#231;&amp;#227;o")</f>
      </c>
      <c r="E33" s="28">
        <f>IFERROR(C33/B33,0)</f>
      </c>
      <c r="F33" s="17"/>
      <c r="G33" s="17"/>
      <c r="H33" s="17"/>
    </row>
    <row x14ac:dyDescent="0.25" r="34" customHeight="1" ht="18.75">
      <c r="A34" s="17" t="s">
        <v>92</v>
      </c>
      <c r="B34" s="23">
        <f>COUNTIF(SCOUT!L:L,A34)</f>
      </c>
      <c r="C34" s="23">
        <f>COUNTIFS(SCOUT!L:L,A34,SCOUT!BA:BA,"Gol 1 ponto")+COUNTIFS(SCOUT!L:L,A34,SCOUT!BA:BA,"Gol 2 pontos")</f>
      </c>
      <c r="D34" s="23">
        <f>COUNTIFS(SCOUT!L:L,A34,SCOUT!BA:BA,"Perda de bola")+COUNTIFS(SCOUT!L:L,A34,SCOUT!BA:BA,"Erro de substitui&amp;#231;&amp;#227;o")</f>
      </c>
      <c r="E34" s="28">
        <f>IFERROR(C34/B34,0)</f>
      </c>
      <c r="F34" s="17"/>
      <c r="G34" s="17"/>
      <c r="H34" s="17"/>
    </row>
    <row x14ac:dyDescent="0.25" r="35" customHeight="1" ht="18.75">
      <c r="A35" s="17" t="s">
        <v>93</v>
      </c>
      <c r="B35" s="23">
        <f>COUNTIF(SCOUT!L:L,A35)</f>
      </c>
      <c r="C35" s="23">
        <f>COUNTIFS(SCOUT!L:L,A35,SCOUT!BA:BA,"Gol 1 ponto")+COUNTIFS(SCOUT!L:L,A35,SCOUT!BA:BA,"Gol 2 pontos")</f>
      </c>
      <c r="D35" s="23">
        <f>COUNTIFS(SCOUT!L:L,A35,SCOUT!BA:BA,"Perda de bola")+COUNTIFS(SCOUT!L:L,A35,SCOUT!BA:BA,"Erro de substitui&amp;#231;&amp;#227;o")</f>
      </c>
      <c r="E35" s="28">
        <f>IFERROR(C35/B35,0)</f>
      </c>
      <c r="F35" s="17"/>
      <c r="G35" s="17"/>
      <c r="H35" s="17"/>
    </row>
    <row x14ac:dyDescent="0.25" r="36" customHeight="1" ht="18.75">
      <c r="A36" s="17" t="s">
        <v>94</v>
      </c>
      <c r="B36" s="23">
        <f>COUNTIF(SCOUT!L:L,A36)</f>
      </c>
      <c r="C36" s="23">
        <f>COUNTIFS(SCOUT!L:L,A36,SCOUT!BA:BA,"Gol 1 ponto")+COUNTIFS(SCOUT!L:L,A36,SCOUT!BA:BA,"Gol 2 pontos")</f>
      </c>
      <c r="D36" s="23">
        <f>COUNTIFS(SCOUT!L:L,A36,SCOUT!BA:BA,"Perda de bola")+COUNTIFS(SCOUT!L:L,A36,SCOUT!BA:BA,"Erro de substitui&amp;#231;&amp;#227;o")</f>
      </c>
      <c r="E36" s="28">
        <f>IFERROR(C36/B36,0)</f>
      </c>
      <c r="F36" s="17"/>
      <c r="G36" s="17"/>
      <c r="H36" s="17"/>
    </row>
    <row x14ac:dyDescent="0.25" r="37" customHeight="1" ht="18.75">
      <c r="A37" s="17" t="s">
        <v>95</v>
      </c>
      <c r="B37" s="23">
        <f>COUNTIF(SCOUT!L:L,A37)</f>
      </c>
      <c r="C37" s="23">
        <f>COUNTIFS(SCOUT!L:L,A37,SCOUT!BA:BA,"Gol 1 ponto")+COUNTIFS(SCOUT!L:L,A37,SCOUT!BA:BA,"Gol 2 pontos")</f>
      </c>
      <c r="D37" s="23">
        <f>COUNTIFS(SCOUT!L:L,A37,SCOUT!BA:BA,"Perda de bola")+COUNTIFS(SCOUT!L:L,A37,SCOUT!BA:BA,"Erro de substitui&amp;#231;&amp;#227;o")</f>
      </c>
      <c r="E37" s="28">
        <f>IFERROR(C37/B37,0)</f>
      </c>
      <c r="F37" s="17"/>
      <c r="G37" s="17"/>
      <c r="H37" s="17"/>
    </row>
    <row x14ac:dyDescent="0.25" r="38" customHeight="1" ht="18.75">
      <c r="A38" s="17" t="s">
        <v>96</v>
      </c>
      <c r="B38" s="23">
        <f>COUNTIF(SCOUT!L:L,A38)</f>
      </c>
      <c r="C38" s="23">
        <f>COUNTIFS(SCOUT!L:L,A38,SCOUT!BA:BA,"Gol 1 ponto")+COUNTIFS(SCOUT!L:L,A38,SCOUT!BA:BA,"Gol 2 pontos")</f>
      </c>
      <c r="D38" s="23">
        <f>COUNTIFS(SCOUT!L:L,A38,SCOUT!BA:BA,"Perda de bola")+COUNTIFS(SCOUT!L:L,A38,SCOUT!BA:BA,"Erro de substitui&amp;#231;&amp;#227;o")</f>
      </c>
      <c r="E38" s="28">
        <f>IFERROR(C38/B38,0)</f>
      </c>
      <c r="F38" s="17"/>
      <c r="G38" s="17"/>
      <c r="H38" s="17"/>
    </row>
  </sheetData>
  <mergeCells count="19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6:B6"/>
    <mergeCell ref="C6:D6"/>
    <mergeCell ref="E6:F6"/>
    <mergeCell ref="G6:H6"/>
    <mergeCell ref="A7:B7"/>
    <mergeCell ref="C7:D7"/>
    <mergeCell ref="E7:F7"/>
    <mergeCell ref="G7:H7"/>
    <mergeCell ref="A11:H11"/>
    <mergeCell ref="A29:E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2"/>
  <sheetViews>
    <sheetView workbookViewId="0"/>
  </sheetViews>
  <sheetFormatPr defaultRowHeight="15" x14ac:dyDescent="0.25"/>
  <cols>
    <col min="1" max="1" style="24" width="15.005" customWidth="1" bestFit="1"/>
    <col min="2" max="2" style="24" width="15.005" customWidth="1" bestFit="1"/>
    <col min="3" max="3" style="24" width="15.005" customWidth="1" bestFit="1"/>
    <col min="4" max="4" style="24" width="15.005" customWidth="1" bestFit="1"/>
    <col min="5" max="5" style="24" width="15.005" customWidth="1" bestFit="1"/>
    <col min="6" max="6" style="24" width="15.005" customWidth="1" bestFit="1"/>
    <col min="7" max="7" style="24" width="15.005" customWidth="1" bestFit="1"/>
    <col min="8" max="8" style="24" width="15.005" customWidth="1" bestFit="1"/>
    <col min="9" max="9" style="24" width="15.005" customWidth="1" bestFit="1"/>
    <col min="10" max="10" style="24" width="15.005" customWidth="1" bestFit="1"/>
    <col min="11" max="11" style="24" width="15.005" customWidth="1" bestFit="1"/>
    <col min="12" max="12" style="24" width="15.005" customWidth="1" bestFit="1"/>
  </cols>
  <sheetData>
    <row x14ac:dyDescent="0.25" r="1" customHeight="1" ht="18.75">
      <c r="A1" s="16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x14ac:dyDescent="0.25" r="2" customHeight="1" ht="18.75">
      <c r="A2" s="18" t="s">
        <v>54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x14ac:dyDescent="0.25" r="3" customHeight="1" ht="18.7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x14ac:dyDescent="0.25" r="4" customHeight="1" ht="18.75">
      <c r="A4" s="19" t="s">
        <v>55</v>
      </c>
      <c r="B4" s="17"/>
      <c r="C4" s="17"/>
      <c r="D4" s="19" t="s">
        <v>56</v>
      </c>
      <c r="E4" s="17"/>
      <c r="F4" s="17"/>
      <c r="G4" s="19" t="s">
        <v>57</v>
      </c>
      <c r="H4" s="17"/>
      <c r="I4" s="17"/>
      <c r="J4" s="19" t="s">
        <v>58</v>
      </c>
      <c r="K4" s="17"/>
      <c r="L4" s="17"/>
    </row>
    <row x14ac:dyDescent="0.25" r="5" customHeight="1" ht="18.75">
      <c r="A5" s="20">
        <f>RESUMO!B4</f>
      </c>
      <c r="B5" s="17"/>
      <c r="C5" s="17"/>
      <c r="D5" s="20">
        <f>RESUMO!F4</f>
      </c>
      <c r="E5" s="17"/>
      <c r="F5" s="17"/>
      <c r="G5" s="20">
        <f>RESUMO!H4</f>
      </c>
      <c r="H5" s="17"/>
      <c r="I5" s="17"/>
      <c r="J5" s="20">
        <f>RESUMO!H7</f>
      </c>
      <c r="K5" s="17"/>
      <c r="L5" s="17"/>
    </row>
    <row x14ac:dyDescent="0.25" r="6" customHeight="1" ht="18.7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x14ac:dyDescent="0.25" r="7" customHeight="1" ht="18.7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x14ac:dyDescent="0.25" r="8" customHeight="1" ht="18.75">
      <c r="A8" s="21" t="s">
        <v>59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x14ac:dyDescent="0.25" r="9" customHeight="1" ht="18.75">
      <c r="A9" s="22">
        <f>RESUMO!A12</f>
      </c>
      <c r="B9" s="22">
        <f>RESUMO!B12</f>
      </c>
      <c r="C9" s="22">
        <f>RESUMO!C12</f>
      </c>
      <c r="D9" s="22">
        <f>RESUMO!D12</f>
      </c>
      <c r="E9" s="22">
        <f>RESUMO!E12</f>
      </c>
      <c r="F9" s="22">
        <f>RESUMO!F12</f>
      </c>
      <c r="G9" s="22">
        <f>RESUMO!G12</f>
      </c>
      <c r="H9" s="22">
        <f>RESUMO!H12</f>
      </c>
      <c r="I9" s="17"/>
      <c r="J9" s="17"/>
      <c r="K9" s="17"/>
      <c r="L9" s="17"/>
    </row>
    <row x14ac:dyDescent="0.25" r="10" customHeight="1" ht="18.75">
      <c r="A10" s="23">
        <f>RESUMO!A13</f>
      </c>
      <c r="B10" s="23">
        <f>RESUMO!B13</f>
      </c>
      <c r="C10" s="23">
        <f>RESUMO!C13</f>
      </c>
      <c r="D10" s="23">
        <f>RESUMO!D13</f>
      </c>
      <c r="E10" s="23">
        <f>RESUMO!E13</f>
      </c>
      <c r="F10" s="23">
        <f>RESUMO!F13</f>
      </c>
      <c r="G10" s="23">
        <f>RESUMO!G13</f>
      </c>
      <c r="H10" s="23">
        <f>RESUMO!H13</f>
      </c>
      <c r="I10" s="17"/>
      <c r="J10" s="17"/>
      <c r="K10" s="17"/>
      <c r="L10" s="17"/>
    </row>
    <row x14ac:dyDescent="0.25" r="11" customHeight="1" ht="18.75">
      <c r="A11" s="23">
        <f>RESUMO!A14</f>
      </c>
      <c r="B11" s="23">
        <f>RESUMO!B14</f>
      </c>
      <c r="C11" s="23">
        <f>RESUMO!C14</f>
      </c>
      <c r="D11" s="23">
        <f>RESUMO!D14</f>
      </c>
      <c r="E11" s="23">
        <f>RESUMO!E14</f>
      </c>
      <c r="F11" s="23">
        <f>RESUMO!F14</f>
      </c>
      <c r="G11" s="23">
        <f>RESUMO!G14</f>
      </c>
      <c r="H11" s="23">
        <f>RESUMO!H14</f>
      </c>
      <c r="I11" s="17"/>
      <c r="J11" s="17"/>
      <c r="K11" s="17"/>
      <c r="L11" s="17"/>
    </row>
    <row x14ac:dyDescent="0.25" r="12" customHeight="1" ht="18.75">
      <c r="A12" s="23">
        <f>RESUMO!A15</f>
      </c>
      <c r="B12" s="23">
        <f>RESUMO!B15</f>
      </c>
      <c r="C12" s="23">
        <f>RESUMO!C15</f>
      </c>
      <c r="D12" s="23">
        <f>RESUMO!D15</f>
      </c>
      <c r="E12" s="23">
        <f>RESUMO!E15</f>
      </c>
      <c r="F12" s="23">
        <f>RESUMO!F15</f>
      </c>
      <c r="G12" s="23">
        <f>RESUMO!G15</f>
      </c>
      <c r="H12" s="23">
        <f>RESUMO!H15</f>
      </c>
      <c r="I12" s="17"/>
      <c r="J12" s="17"/>
      <c r="K12" s="17"/>
      <c r="L12" s="17"/>
    </row>
    <row x14ac:dyDescent="0.25" r="13" customHeight="1" ht="18.75">
      <c r="A13" s="23">
        <f>RESUMO!A16</f>
      </c>
      <c r="B13" s="23">
        <f>RESUMO!B16</f>
      </c>
      <c r="C13" s="23">
        <f>RESUMO!C16</f>
      </c>
      <c r="D13" s="23">
        <f>RESUMO!D16</f>
      </c>
      <c r="E13" s="23">
        <f>RESUMO!E16</f>
      </c>
      <c r="F13" s="23">
        <f>RESUMO!F16</f>
      </c>
      <c r="G13" s="23">
        <f>RESUMO!G16</f>
      </c>
      <c r="H13" s="23">
        <f>RESUMO!H16</f>
      </c>
      <c r="I13" s="17"/>
      <c r="J13" s="17"/>
      <c r="K13" s="17"/>
      <c r="L13" s="17"/>
    </row>
    <row x14ac:dyDescent="0.25" r="14" customHeight="1" ht="18.75">
      <c r="A14" s="23">
        <f>RESUMO!A17</f>
      </c>
      <c r="B14" s="23">
        <f>RESUMO!B17</f>
      </c>
      <c r="C14" s="23">
        <f>RESUMO!C17</f>
      </c>
      <c r="D14" s="23">
        <f>RESUMO!D17</f>
      </c>
      <c r="E14" s="23">
        <f>RESUMO!E17</f>
      </c>
      <c r="F14" s="23">
        <f>RESUMO!F17</f>
      </c>
      <c r="G14" s="23">
        <f>RESUMO!G17</f>
      </c>
      <c r="H14" s="23">
        <f>RESUMO!H17</f>
      </c>
      <c r="I14" s="17"/>
      <c r="J14" s="17"/>
      <c r="K14" s="17"/>
      <c r="L14" s="17"/>
    </row>
    <row x14ac:dyDescent="0.25" r="15" customHeight="1" ht="18.75">
      <c r="A15" s="23">
        <f>RESUMO!A18</f>
      </c>
      <c r="B15" s="23">
        <f>RESUMO!B18</f>
      </c>
      <c r="C15" s="23">
        <f>RESUMO!C18</f>
      </c>
      <c r="D15" s="23">
        <f>RESUMO!D18</f>
      </c>
      <c r="E15" s="23">
        <f>RESUMO!E18</f>
      </c>
      <c r="F15" s="23">
        <f>RESUMO!F18</f>
      </c>
      <c r="G15" s="23">
        <f>RESUMO!G18</f>
      </c>
      <c r="H15" s="23">
        <f>RESUMO!H18</f>
      </c>
      <c r="I15" s="17"/>
      <c r="J15" s="17"/>
      <c r="K15" s="17"/>
      <c r="L15" s="17"/>
    </row>
    <row x14ac:dyDescent="0.25" r="16" customHeight="1" ht="18.75">
      <c r="A16" s="23">
        <f>RESUMO!A19</f>
      </c>
      <c r="B16" s="23">
        <f>RESUMO!B19</f>
      </c>
      <c r="C16" s="23">
        <f>RESUMO!C19</f>
      </c>
      <c r="D16" s="23">
        <f>RESUMO!D19</f>
      </c>
      <c r="E16" s="23">
        <f>RESUMO!E19</f>
      </c>
      <c r="F16" s="23">
        <f>RESUMO!F19</f>
      </c>
      <c r="G16" s="23">
        <f>RESUMO!G19</f>
      </c>
      <c r="H16" s="23">
        <f>RESUMO!H19</f>
      </c>
      <c r="I16" s="17"/>
      <c r="J16" s="17"/>
      <c r="K16" s="17"/>
      <c r="L16" s="17"/>
    </row>
    <row x14ac:dyDescent="0.25" r="17" customHeight="1" ht="18.75">
      <c r="A17" s="23">
        <f>RESUMO!A20</f>
      </c>
      <c r="B17" s="23">
        <f>RESUMO!B20</f>
      </c>
      <c r="C17" s="23">
        <f>RESUMO!C20</f>
      </c>
      <c r="D17" s="23">
        <f>RESUMO!D20</f>
      </c>
      <c r="E17" s="23">
        <f>RESUMO!E20</f>
      </c>
      <c r="F17" s="23">
        <f>RESUMO!F20</f>
      </c>
      <c r="G17" s="23">
        <f>RESUMO!G20</f>
      </c>
      <c r="H17" s="23">
        <f>RESUMO!H20</f>
      </c>
      <c r="I17" s="17"/>
      <c r="J17" s="17"/>
      <c r="K17" s="17"/>
      <c r="L17" s="17"/>
    </row>
    <row x14ac:dyDescent="0.25" r="18" customHeight="1" ht="18.75">
      <c r="A18" s="23">
        <f>RESUMO!A21</f>
      </c>
      <c r="B18" s="23">
        <f>RESUMO!B21</f>
      </c>
      <c r="C18" s="23">
        <f>RESUMO!C21</f>
      </c>
      <c r="D18" s="23">
        <f>RESUMO!D21</f>
      </c>
      <c r="E18" s="23">
        <f>RESUMO!E21</f>
      </c>
      <c r="F18" s="23">
        <f>RESUMO!F21</f>
      </c>
      <c r="G18" s="23">
        <f>RESUMO!G21</f>
      </c>
      <c r="H18" s="23">
        <f>RESUMO!H21</f>
      </c>
      <c r="I18" s="17"/>
      <c r="J18" s="17"/>
      <c r="K18" s="17"/>
      <c r="L18" s="17"/>
    </row>
    <row x14ac:dyDescent="0.25" r="19" customHeight="1" ht="18.75">
      <c r="A19" s="23">
        <f>RESUMO!A22</f>
      </c>
      <c r="B19" s="23">
        <f>RESUMO!B22</f>
      </c>
      <c r="C19" s="23">
        <f>RESUMO!C22</f>
      </c>
      <c r="D19" s="23">
        <f>RESUMO!D22</f>
      </c>
      <c r="E19" s="23">
        <f>RESUMO!E22</f>
      </c>
      <c r="F19" s="23">
        <f>RESUMO!F22</f>
      </c>
      <c r="G19" s="23">
        <f>RESUMO!G22</f>
      </c>
      <c r="H19" s="23">
        <f>RESUMO!H22</f>
      </c>
      <c r="I19" s="17"/>
      <c r="J19" s="17"/>
      <c r="K19" s="17"/>
      <c r="L19" s="17"/>
    </row>
    <row x14ac:dyDescent="0.25" r="20" customHeight="1" ht="18.75">
      <c r="A20" s="23">
        <f>RESUMO!A23</f>
      </c>
      <c r="B20" s="23">
        <f>RESUMO!B23</f>
      </c>
      <c r="C20" s="23">
        <f>RESUMO!C23</f>
      </c>
      <c r="D20" s="23">
        <f>RESUMO!D23</f>
      </c>
      <c r="E20" s="23">
        <f>RESUMO!E23</f>
      </c>
      <c r="F20" s="23">
        <f>RESUMO!F23</f>
      </c>
      <c r="G20" s="23">
        <f>RESUMO!G23</f>
      </c>
      <c r="H20" s="23">
        <f>RESUMO!H23</f>
      </c>
      <c r="I20" s="17"/>
      <c r="J20" s="17"/>
      <c r="K20" s="17"/>
      <c r="L20" s="17"/>
    </row>
    <row x14ac:dyDescent="0.25" r="21" customHeight="1" ht="18.75">
      <c r="A21" s="23">
        <f>RESUMO!A24</f>
      </c>
      <c r="B21" s="23">
        <f>RESUMO!B24</f>
      </c>
      <c r="C21" s="23">
        <f>RESUMO!C24</f>
      </c>
      <c r="D21" s="23">
        <f>RESUMO!D24</f>
      </c>
      <c r="E21" s="23">
        <f>RESUMO!E24</f>
      </c>
      <c r="F21" s="23">
        <f>RESUMO!F24</f>
      </c>
      <c r="G21" s="23">
        <f>RESUMO!G24</f>
      </c>
      <c r="H21" s="23">
        <f>RESUMO!H24</f>
      </c>
      <c r="I21" s="17"/>
      <c r="J21" s="17"/>
      <c r="K21" s="17"/>
      <c r="L21" s="17"/>
    </row>
    <row x14ac:dyDescent="0.25" r="22" customHeight="1" ht="18.75">
      <c r="A22" s="23">
        <f>RESUMO!A25</f>
      </c>
      <c r="B22" s="23">
        <f>RESUMO!B25</f>
      </c>
      <c r="C22" s="23">
        <f>RESUMO!C25</f>
      </c>
      <c r="D22" s="23">
        <f>RESUMO!D25</f>
      </c>
      <c r="E22" s="23">
        <f>RESUMO!E25</f>
      </c>
      <c r="F22" s="23">
        <f>RESUMO!F25</f>
      </c>
      <c r="G22" s="23">
        <f>RESUMO!G25</f>
      </c>
      <c r="H22" s="23">
        <f>RESUMO!H25</f>
      </c>
      <c r="I22" s="17"/>
      <c r="J22" s="17"/>
      <c r="K22" s="17"/>
      <c r="L22" s="17"/>
    </row>
  </sheetData>
  <mergeCells count="11">
    <mergeCell ref="A1:L1"/>
    <mergeCell ref="A2:L2"/>
    <mergeCell ref="A4:B4"/>
    <mergeCell ref="D4:E4"/>
    <mergeCell ref="G4:H4"/>
    <mergeCell ref="J4:K4"/>
    <mergeCell ref="A5:B5"/>
    <mergeCell ref="D5:E5"/>
    <mergeCell ref="G5:H5"/>
    <mergeCell ref="J5:K5"/>
    <mergeCell ref="A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6"/>
  <sheetViews>
    <sheetView workbookViewId="0"/>
  </sheetViews>
  <sheetFormatPr defaultRowHeight="15" x14ac:dyDescent="0.25"/>
  <cols>
    <col min="1" max="1" style="13" width="10.005" customWidth="1" bestFit="1"/>
    <col min="2" max="2" style="14" width="80.005" customWidth="1" bestFit="1"/>
    <col min="3" max="3" style="14" width="18.005" customWidth="1" bestFit="1"/>
    <col min="4" max="4" style="15" width="13.576428571428572" customWidth="1" bestFit="1"/>
    <col min="5" max="5" style="15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3"/>
    </row>
    <row x14ac:dyDescent="0.25" r="2" customHeight="1" ht="18.75">
      <c r="A2" s="4"/>
      <c r="B2" s="2"/>
      <c r="C2" s="2"/>
      <c r="D2" s="3"/>
      <c r="E2" s="3"/>
    </row>
    <row x14ac:dyDescent="0.25" r="3" customHeight="1" ht="18.75" customFormat="1" s="5">
      <c r="A3" s="6" t="s">
        <v>1</v>
      </c>
      <c r="B3" s="7" t="s">
        <v>2</v>
      </c>
      <c r="C3" s="7" t="s">
        <v>3</v>
      </c>
      <c r="D3" s="2"/>
      <c r="E3" s="2"/>
    </row>
    <row x14ac:dyDescent="0.25" r="4" customHeight="1" ht="18.75" customFormat="1" s="5">
      <c r="A4" s="8">
        <v>1</v>
      </c>
      <c r="B4" s="9" t="s">
        <v>4</v>
      </c>
      <c r="C4" s="9" t="s">
        <v>5</v>
      </c>
      <c r="D4" s="2"/>
      <c r="E4" s="2"/>
    </row>
    <row x14ac:dyDescent="0.25" r="5" customHeight="1" ht="18.75" customFormat="1" s="5">
      <c r="A5" s="8">
        <v>2</v>
      </c>
      <c r="B5" s="9" t="s">
        <v>6</v>
      </c>
      <c r="C5" s="9" t="s">
        <v>7</v>
      </c>
      <c r="D5" s="2"/>
      <c r="E5" s="2"/>
    </row>
    <row x14ac:dyDescent="0.25" r="6" customHeight="1" ht="18.75" customFormat="1" s="5">
      <c r="A6" s="8">
        <v>3</v>
      </c>
      <c r="B6" s="9" t="s">
        <v>8</v>
      </c>
      <c r="C6" s="9" t="s">
        <v>9</v>
      </c>
      <c r="D6" s="2"/>
      <c r="E6" s="2"/>
    </row>
    <row x14ac:dyDescent="0.25" r="7" customHeight="1" ht="18.75" customFormat="1" s="5">
      <c r="A7" s="8">
        <v>4</v>
      </c>
      <c r="B7" s="9" t="s">
        <v>10</v>
      </c>
      <c r="C7" s="9" t="s">
        <v>11</v>
      </c>
      <c r="D7" s="2"/>
      <c r="E7" s="2"/>
    </row>
    <row x14ac:dyDescent="0.25" r="8" customHeight="1" ht="18.75" customFormat="1" s="5">
      <c r="A8" s="8">
        <v>5</v>
      </c>
      <c r="B8" s="9" t="s">
        <v>12</v>
      </c>
      <c r="C8" s="9" t="s">
        <v>13</v>
      </c>
      <c r="D8" s="2"/>
      <c r="E8" s="2"/>
    </row>
    <row x14ac:dyDescent="0.25" r="9" customHeight="1" ht="18.75" customFormat="1" s="5">
      <c r="A9" s="8">
        <v>6</v>
      </c>
      <c r="B9" s="9" t="s">
        <v>14</v>
      </c>
      <c r="C9" s="9" t="s">
        <v>15</v>
      </c>
      <c r="D9" s="2"/>
      <c r="E9" s="2"/>
    </row>
    <row x14ac:dyDescent="0.25" r="10" customHeight="1" ht="18.75">
      <c r="A10" s="4"/>
      <c r="B10" s="2"/>
      <c r="C10" s="2"/>
      <c r="D10" s="3"/>
      <c r="E10" s="3"/>
    </row>
    <row x14ac:dyDescent="0.25" r="11" customHeight="1" ht="18.75">
      <c r="A11" s="10" t="s">
        <v>16</v>
      </c>
      <c r="B11" s="2"/>
      <c r="C11" s="2"/>
      <c r="D11" s="3"/>
      <c r="E11" s="3"/>
    </row>
    <row x14ac:dyDescent="0.25" r="12" customHeight="1" ht="18.75" customFormat="1" s="5">
      <c r="A12" s="11">
        <v>1</v>
      </c>
      <c r="B12" s="9" t="s">
        <v>17</v>
      </c>
      <c r="C12" s="12" t="s">
        <v>18</v>
      </c>
      <c r="D12" s="2"/>
      <c r="E12" s="2"/>
    </row>
    <row x14ac:dyDescent="0.25" r="13" customHeight="1" ht="18.75" customFormat="1" s="5">
      <c r="A13" s="11">
        <v>2</v>
      </c>
      <c r="B13" s="9" t="s">
        <v>19</v>
      </c>
      <c r="C13" s="12" t="s">
        <v>18</v>
      </c>
      <c r="D13" s="2"/>
      <c r="E13" s="2"/>
    </row>
    <row x14ac:dyDescent="0.25" r="14" customHeight="1" ht="18.75" customFormat="1" s="5">
      <c r="A14" s="11">
        <v>3</v>
      </c>
      <c r="B14" s="9" t="s">
        <v>20</v>
      </c>
      <c r="C14" s="12" t="s">
        <v>18</v>
      </c>
      <c r="D14" s="2"/>
      <c r="E14" s="2"/>
    </row>
    <row x14ac:dyDescent="0.25" r="15" customHeight="1" ht="18.75" customFormat="1" s="5">
      <c r="A15" s="11">
        <v>4</v>
      </c>
      <c r="B15" s="9" t="s">
        <v>21</v>
      </c>
      <c r="C15" s="12" t="s">
        <v>18</v>
      </c>
      <c r="D15" s="2"/>
      <c r="E15" s="2"/>
    </row>
    <row x14ac:dyDescent="0.25" r="16" customHeight="1" ht="18.75" customFormat="1" s="5">
      <c r="A16" s="11">
        <v>5</v>
      </c>
      <c r="B16" s="9" t="s">
        <v>22</v>
      </c>
      <c r="C16" s="12" t="s">
        <v>18</v>
      </c>
      <c r="D16" s="2"/>
      <c r="E16" s="2"/>
    </row>
    <row x14ac:dyDescent="0.25" r="17" customHeight="1" ht="18.75" customFormat="1" s="5">
      <c r="A17" s="11">
        <v>6</v>
      </c>
      <c r="B17" s="9" t="s">
        <v>23</v>
      </c>
      <c r="C17" s="12" t="s">
        <v>18</v>
      </c>
      <c r="D17" s="2"/>
      <c r="E17" s="2"/>
    </row>
    <row x14ac:dyDescent="0.25" r="18" customHeight="1" ht="18.75" customFormat="1" s="5">
      <c r="A18" s="11">
        <v>7</v>
      </c>
      <c r="B18" s="9" t="s">
        <v>24</v>
      </c>
      <c r="C18" s="12" t="s">
        <v>18</v>
      </c>
      <c r="D18" s="2"/>
      <c r="E18" s="2"/>
    </row>
    <row x14ac:dyDescent="0.25" r="19" customHeight="1" ht="18.75" customFormat="1" s="5">
      <c r="A19" s="11">
        <v>8</v>
      </c>
      <c r="B19" s="9" t="s">
        <v>25</v>
      </c>
      <c r="C19" s="12" t="s">
        <v>18</v>
      </c>
      <c r="D19" s="2"/>
      <c r="E19" s="2"/>
    </row>
    <row x14ac:dyDescent="0.25" r="20" customHeight="1" ht="18.75" customFormat="1" s="5">
      <c r="A20" s="11">
        <v>9</v>
      </c>
      <c r="B20" s="9" t="s">
        <v>26</v>
      </c>
      <c r="C20" s="12" t="s">
        <v>18</v>
      </c>
      <c r="D20" s="2"/>
      <c r="E20" s="2"/>
    </row>
    <row x14ac:dyDescent="0.25" r="21" customHeight="1" ht="18.75" customFormat="1" s="5">
      <c r="A21" s="11">
        <v>10</v>
      </c>
      <c r="B21" s="9" t="s">
        <v>27</v>
      </c>
      <c r="C21" s="12" t="s">
        <v>18</v>
      </c>
      <c r="D21" s="2"/>
      <c r="E21" s="2"/>
    </row>
    <row x14ac:dyDescent="0.25" r="22" customHeight="1" ht="18.75" customFormat="1" s="5">
      <c r="A22" s="11">
        <v>11</v>
      </c>
      <c r="B22" s="9" t="s">
        <v>28</v>
      </c>
      <c r="C22" s="12" t="s">
        <v>18</v>
      </c>
      <c r="D22" s="2"/>
      <c r="E22" s="2"/>
    </row>
    <row x14ac:dyDescent="0.25" r="23" customHeight="1" ht="18.75" customFormat="1" s="5">
      <c r="A23" s="11">
        <v>12</v>
      </c>
      <c r="B23" s="9" t="s">
        <v>29</v>
      </c>
      <c r="C23" s="12" t="s">
        <v>18</v>
      </c>
      <c r="D23" s="2"/>
      <c r="E23" s="2"/>
    </row>
    <row x14ac:dyDescent="0.25" r="24" customHeight="1" ht="18.75" customFormat="1" s="5">
      <c r="A24" s="11">
        <v>13</v>
      </c>
      <c r="B24" s="9" t="s">
        <v>30</v>
      </c>
      <c r="C24" s="12" t="s">
        <v>18</v>
      </c>
      <c r="D24" s="2"/>
      <c r="E24" s="2"/>
    </row>
    <row x14ac:dyDescent="0.25" r="25" customHeight="1" ht="18.75" customFormat="1" s="5">
      <c r="A25" s="11">
        <v>14</v>
      </c>
      <c r="B25" s="9" t="s">
        <v>31</v>
      </c>
      <c r="C25" s="12" t="s">
        <v>18</v>
      </c>
      <c r="D25" s="2"/>
      <c r="E25" s="2"/>
    </row>
    <row x14ac:dyDescent="0.25" r="26" customHeight="1" ht="18.75" customFormat="1" s="5">
      <c r="A26" s="11">
        <v>15</v>
      </c>
      <c r="B26" s="9" t="s">
        <v>32</v>
      </c>
      <c r="C26" s="12" t="s">
        <v>18</v>
      </c>
      <c r="D26" s="2"/>
      <c r="E26" s="2"/>
    </row>
    <row x14ac:dyDescent="0.25" r="27" customHeight="1" ht="18.75" customFormat="1" s="5">
      <c r="A27" s="11">
        <v>16</v>
      </c>
      <c r="B27" s="9" t="s">
        <v>33</v>
      </c>
      <c r="C27" s="12" t="s">
        <v>18</v>
      </c>
      <c r="D27" s="2"/>
      <c r="E27" s="2"/>
    </row>
    <row x14ac:dyDescent="0.25" r="28" customHeight="1" ht="18.75" customFormat="1" s="5">
      <c r="A28" s="11">
        <v>17</v>
      </c>
      <c r="B28" s="9" t="s">
        <v>34</v>
      </c>
      <c r="C28" s="12" t="s">
        <v>18</v>
      </c>
      <c r="D28" s="2"/>
      <c r="E28" s="2"/>
    </row>
    <row x14ac:dyDescent="0.25" r="29" customHeight="1" ht="18.75" customFormat="1" s="5">
      <c r="A29" s="11">
        <v>18</v>
      </c>
      <c r="B29" s="9" t="s">
        <v>35</v>
      </c>
      <c r="C29" s="12" t="s">
        <v>18</v>
      </c>
      <c r="D29" s="2"/>
      <c r="E29" s="2"/>
    </row>
    <row x14ac:dyDescent="0.25" r="30" customHeight="1" ht="18.75" customFormat="1" s="5">
      <c r="A30" s="11">
        <v>19</v>
      </c>
      <c r="B30" s="9" t="s">
        <v>36</v>
      </c>
      <c r="C30" s="12" t="s">
        <v>18</v>
      </c>
      <c r="D30" s="2"/>
      <c r="E30" s="2"/>
    </row>
    <row x14ac:dyDescent="0.25" r="31" customHeight="1" ht="18.75" customFormat="1" s="5">
      <c r="A31" s="11">
        <v>20</v>
      </c>
      <c r="B31" s="9" t="s">
        <v>37</v>
      </c>
      <c r="C31" s="12" t="s">
        <v>18</v>
      </c>
      <c r="D31" s="2"/>
      <c r="E31" s="2"/>
    </row>
    <row x14ac:dyDescent="0.25" r="32" customHeight="1" ht="18.75" customFormat="1" s="5">
      <c r="A32" s="11">
        <v>21</v>
      </c>
      <c r="B32" s="9" t="s">
        <v>38</v>
      </c>
      <c r="C32" s="12" t="s">
        <v>18</v>
      </c>
      <c r="D32" s="2"/>
      <c r="E32" s="2"/>
    </row>
    <row x14ac:dyDescent="0.25" r="33" customHeight="1" ht="18.75" customFormat="1" s="5">
      <c r="A33" s="11">
        <v>22</v>
      </c>
      <c r="B33" s="9" t="s">
        <v>39</v>
      </c>
      <c r="C33" s="12" t="s">
        <v>18</v>
      </c>
      <c r="D33" s="2"/>
      <c r="E33" s="2"/>
    </row>
    <row x14ac:dyDescent="0.25" r="34" customHeight="1" ht="18.75" customFormat="1" s="5">
      <c r="A34" s="11">
        <v>23</v>
      </c>
      <c r="B34" s="9" t="s">
        <v>40</v>
      </c>
      <c r="C34" s="12" t="s">
        <v>18</v>
      </c>
      <c r="D34" s="2"/>
      <c r="E34" s="2"/>
    </row>
    <row x14ac:dyDescent="0.25" r="35" customHeight="1" ht="18.75" customFormat="1" s="5">
      <c r="A35" s="11">
        <v>24</v>
      </c>
      <c r="B35" s="9" t="s">
        <v>41</v>
      </c>
      <c r="C35" s="12" t="s">
        <v>18</v>
      </c>
      <c r="D35" s="2"/>
      <c r="E35" s="2"/>
    </row>
    <row x14ac:dyDescent="0.25" r="36" customHeight="1" ht="18.75" customFormat="1" s="5">
      <c r="A36" s="11">
        <v>25</v>
      </c>
      <c r="B36" s="9" t="s">
        <v>42</v>
      </c>
      <c r="C36" s="12" t="s">
        <v>18</v>
      </c>
      <c r="D36" s="2"/>
      <c r="E36" s="2"/>
    </row>
    <row x14ac:dyDescent="0.25" r="37" customHeight="1" ht="18.75" customFormat="1" s="5">
      <c r="A37" s="11">
        <v>26</v>
      </c>
      <c r="B37" s="9" t="s">
        <v>43</v>
      </c>
      <c r="C37" s="12" t="s">
        <v>18</v>
      </c>
      <c r="D37" s="2"/>
      <c r="E37" s="2"/>
    </row>
    <row x14ac:dyDescent="0.25" r="38" customHeight="1" ht="18.75" customFormat="1" s="5">
      <c r="A38" s="11">
        <v>27</v>
      </c>
      <c r="B38" s="9" t="s">
        <v>44</v>
      </c>
      <c r="C38" s="12" t="s">
        <v>18</v>
      </c>
      <c r="D38" s="2"/>
      <c r="E38" s="2"/>
    </row>
    <row x14ac:dyDescent="0.25" r="39" customHeight="1" ht="18.75" customFormat="1" s="5">
      <c r="A39" s="11">
        <v>28</v>
      </c>
      <c r="B39" s="9" t="s">
        <v>45</v>
      </c>
      <c r="C39" s="12" t="s">
        <v>18</v>
      </c>
      <c r="D39" s="2"/>
      <c r="E39" s="2"/>
    </row>
    <row x14ac:dyDescent="0.25" r="40" customHeight="1" ht="18.75" customFormat="1" s="5">
      <c r="A40" s="11">
        <v>29</v>
      </c>
      <c r="B40" s="9" t="s">
        <v>46</v>
      </c>
      <c r="C40" s="12" t="s">
        <v>18</v>
      </c>
      <c r="D40" s="2"/>
      <c r="E40" s="2"/>
    </row>
    <row x14ac:dyDescent="0.25" r="41" customHeight="1" ht="18.75" customFormat="1" s="5">
      <c r="A41" s="11">
        <v>30</v>
      </c>
      <c r="B41" s="9" t="s">
        <v>47</v>
      </c>
      <c r="C41" s="12" t="s">
        <v>18</v>
      </c>
      <c r="D41" s="2"/>
      <c r="E41" s="2"/>
    </row>
    <row x14ac:dyDescent="0.25" r="42" customHeight="1" ht="18.75" customFormat="1" s="5">
      <c r="A42" s="11">
        <v>31</v>
      </c>
      <c r="B42" s="9" t="s">
        <v>48</v>
      </c>
      <c r="C42" s="12" t="s">
        <v>18</v>
      </c>
      <c r="D42" s="2"/>
      <c r="E42" s="2"/>
    </row>
    <row x14ac:dyDescent="0.25" r="43" customHeight="1" ht="18.75" customFormat="1" s="5">
      <c r="A43" s="11">
        <v>32</v>
      </c>
      <c r="B43" s="9" t="s">
        <v>49</v>
      </c>
      <c r="C43" s="12" t="s">
        <v>18</v>
      </c>
      <c r="D43" s="2"/>
      <c r="E43" s="2"/>
    </row>
    <row x14ac:dyDescent="0.25" r="44" customHeight="1" ht="18.75" customFormat="1" s="5">
      <c r="A44" s="11">
        <v>33</v>
      </c>
      <c r="B44" s="9" t="s">
        <v>50</v>
      </c>
      <c r="C44" s="12" t="s">
        <v>18</v>
      </c>
      <c r="D44" s="2"/>
      <c r="E44" s="2"/>
    </row>
    <row x14ac:dyDescent="0.25" r="45" customHeight="1" ht="18.75" customFormat="1" s="5">
      <c r="A45" s="11">
        <v>34</v>
      </c>
      <c r="B45" s="9" t="s">
        <v>51</v>
      </c>
      <c r="C45" s="12" t="s">
        <v>18</v>
      </c>
      <c r="D45" s="2"/>
      <c r="E45" s="2"/>
    </row>
    <row x14ac:dyDescent="0.25" r="46" customHeight="1" ht="18.75" customFormat="1" s="5">
      <c r="A46" s="11">
        <v>35</v>
      </c>
      <c r="B46" s="9" t="s">
        <v>52</v>
      </c>
      <c r="C46" s="12" t="s">
        <v>18</v>
      </c>
      <c r="D46" s="2"/>
      <c r="E46" s="2"/>
    </row>
  </sheetData>
  <mergeCells count="2">
    <mergeCell ref="A1:E1"/>
    <mergeCell ref="A11:E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SCOUT</vt:lpstr>
      <vt:lpstr>LISTAS</vt:lpstr>
      <vt:lpstr>BASE_ATLETAS_EVENTOS</vt:lpstr>
      <vt:lpstr>RESUMO</vt:lpstr>
      <vt:lpstr>DASHBOARD</vt:lpstr>
      <vt:lpstr>LEGENDA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2026-05-01T08:01:52.346Z</dcterms:created>
  <dcterms:modified xsi:type="dcterms:W3CDTF">2026-05-01T08:01:52.353Z</dcterms:modified>
</cp:coreProperties>
</file>